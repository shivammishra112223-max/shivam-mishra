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hidePivotFieldList="1"/>
  <xr:revisionPtr revIDLastSave="865" documentId="11_0B1D56BE9CDCCE836B02CE7A5FB0D4A9BBFD1C62" xr6:coauthVersionLast="47" xr6:coauthVersionMax="47" xr10:uidLastSave="{30D81622-8968-428C-97CA-F18C1D2FFE33}"/>
  <bookViews>
    <workbookView xWindow="240" yWindow="105" windowWidth="14805" windowHeight="8010" firstSheet="7" activeTab="7" xr2:uid="{00000000-000D-0000-FFFF-FFFF00000000}"/>
  </bookViews>
  <sheets>
    <sheet name="Break" sheetId="1" r:id="rId1"/>
    <sheet name="Sheet1 (2)" sheetId="4" r:id="rId2"/>
    <sheet name="Sheet1" sheetId="6" r:id="rId3"/>
    <sheet name="EFFICIENCY" sheetId="2" r:id="rId4"/>
    <sheet name="OVER ALL PERFORMANCE" sheetId="3" r:id="rId5"/>
    <sheet name="SUMMARY" sheetId="5" r:id="rId6"/>
    <sheet name="Detail1" sheetId="8" r:id="rId7"/>
    <sheet name="Dashboard" sheetId="7" r:id="rId8"/>
  </sheets>
  <definedNames>
    <definedName name="Break">Break!$A$1:$I$21</definedName>
    <definedName name="Efficiency">EFFICIENCY!$A$1:$P$21</definedName>
    <definedName name="mis_report">Dashboard!$A$1:$N$25</definedName>
    <definedName name="Over">'OVER ALL PERFORMANCE'!$A$1:$J$21</definedName>
  </definedNames>
  <calcPr calcId="191028"/>
  <pivotCaches>
    <pivotCache cacheId="64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</calcChain>
</file>

<file path=xl/sharedStrings.xml><?xml version="1.0" encoding="utf-8"?>
<sst xmlns="http://schemas.openxmlformats.org/spreadsheetml/2006/main" count="181" uniqueCount="104">
  <si>
    <t>EMPLOYEE</t>
  </si>
  <si>
    <t>LUNCH</t>
  </si>
  <si>
    <t>NORMAL BREAK</t>
  </si>
  <si>
    <t>FEEDBACK</t>
  </si>
  <si>
    <t>TRAINING</t>
  </si>
  <si>
    <t>MEETING</t>
  </si>
  <si>
    <t>UNWANTED BREAK</t>
  </si>
  <si>
    <t>OTHER WORK</t>
  </si>
  <si>
    <t>TOTAL BREAK TAKEN</t>
  </si>
  <si>
    <t>John Smith_001</t>
  </si>
  <si>
    <t>Emma Johnson_002</t>
  </si>
  <si>
    <t>Liam Williams_003</t>
  </si>
  <si>
    <t>Olivia Brown_004</t>
  </si>
  <si>
    <t>Noah Jones_005</t>
  </si>
  <si>
    <t>Ava Miller_006</t>
  </si>
  <si>
    <t>William Davis_007</t>
  </si>
  <si>
    <t>Sophia Garcia_008</t>
  </si>
  <si>
    <t>James Rodriguez_009</t>
  </si>
  <si>
    <t>Isabella Wilson_010</t>
  </si>
  <si>
    <t>Michael Moore_011</t>
  </si>
  <si>
    <t>Mia Taylor_012</t>
  </si>
  <si>
    <t>BenjaminAnderson_013</t>
  </si>
  <si>
    <t>Charlotte Thomas_014</t>
  </si>
  <si>
    <t>Elijah Jackson_015</t>
  </si>
  <si>
    <t>Amelia White_016</t>
  </si>
  <si>
    <t>Logan Harris_017</t>
  </si>
  <si>
    <t>Harper Martin_018</t>
  </si>
  <si>
    <t>Alexander Lee_019</t>
  </si>
  <si>
    <t>Ella Perez_020</t>
  </si>
  <si>
    <t>TOTAL WORKING HOURS</t>
  </si>
  <si>
    <t>WORK EFFICIENCY</t>
  </si>
  <si>
    <t>ATTENDED CALLS</t>
  </si>
  <si>
    <t>EFFICIENCY WITH CUST</t>
  </si>
  <si>
    <t>ACTIVE TIME</t>
  </si>
  <si>
    <t>OTHER</t>
  </si>
  <si>
    <t>NOT WORKING %</t>
  </si>
  <si>
    <t>CALL KEEPING</t>
  </si>
  <si>
    <t>BREAK DURING CALLS</t>
  </si>
  <si>
    <t>NON BREAK %</t>
  </si>
  <si>
    <t>John_Smith_001</t>
  </si>
  <si>
    <t>Emma_Johnson_002</t>
  </si>
  <si>
    <t>Liam_Williams_003</t>
  </si>
  <si>
    <t>Olivia_Brown_004</t>
  </si>
  <si>
    <t>Noah_Jones_005</t>
  </si>
  <si>
    <t>Ava_Miller_006</t>
  </si>
  <si>
    <t>William_Davis_007</t>
  </si>
  <si>
    <t>Sophia_Garcia_008</t>
  </si>
  <si>
    <t>James_Rodriguez_009</t>
  </si>
  <si>
    <t>Isabella_Wilson_010</t>
  </si>
  <si>
    <t>Michael_Moore_011</t>
  </si>
  <si>
    <t>Mia_Taylor_012</t>
  </si>
  <si>
    <t>Benjamin_Anderson_013</t>
  </si>
  <si>
    <t>Charlotte_Thomas_014</t>
  </si>
  <si>
    <t>Elijah_Jackson_015</t>
  </si>
  <si>
    <t>Amelia_White_016</t>
  </si>
  <si>
    <t>Logan_Harris_017</t>
  </si>
  <si>
    <t>Harper_Martin_018</t>
  </si>
  <si>
    <t>Alexander_Lee_019</t>
  </si>
  <si>
    <t>Ella_Perez_020</t>
  </si>
  <si>
    <t>EFFICIENCY in Percentage</t>
  </si>
  <si>
    <t>ACTIVE With Cust</t>
  </si>
  <si>
    <t>% OTHER WORK</t>
  </si>
  <si>
    <t>LONG TIME</t>
  </si>
  <si>
    <t>SHORT TIME HOLDS</t>
  </si>
  <si>
    <t>LONG CALL HOLDS</t>
  </si>
  <si>
    <t>NO HOLD</t>
  </si>
  <si>
    <t>TRANSFERRED CALLS</t>
  </si>
  <si>
    <t>CALL CONFERENCED</t>
  </si>
  <si>
    <t>CALL REDIRECTED</t>
  </si>
  <si>
    <t>HOLD CALLS</t>
  </si>
  <si>
    <t>% CALL HOLD</t>
  </si>
  <si>
    <t>AVERAGE DURATION OF CALLS</t>
  </si>
  <si>
    <t>AVG.IN FOCUS HOLD CALLS</t>
  </si>
  <si>
    <t>CALLS UNATTEND TIME</t>
  </si>
  <si>
    <t>EMPLOYEE NAME</t>
  </si>
  <si>
    <t>TOTAL WORKING HOURSE</t>
  </si>
  <si>
    <t>Emma Johnson</t>
  </si>
  <si>
    <t>Liam Williams</t>
  </si>
  <si>
    <t>Olivia</t>
  </si>
  <si>
    <t>Noah</t>
  </si>
  <si>
    <t>Ava</t>
  </si>
  <si>
    <t>WiIlliam</t>
  </si>
  <si>
    <t>Sophia</t>
  </si>
  <si>
    <t>James</t>
  </si>
  <si>
    <t>Isabella</t>
  </si>
  <si>
    <t>Michael</t>
  </si>
  <si>
    <t>Mia</t>
  </si>
  <si>
    <t>BenjaminAnderson</t>
  </si>
  <si>
    <t>Charlotte</t>
  </si>
  <si>
    <t>EliJah</t>
  </si>
  <si>
    <t>Amelia</t>
  </si>
  <si>
    <t>Logan</t>
  </si>
  <si>
    <t>Harper</t>
  </si>
  <si>
    <t>Alexander</t>
  </si>
  <si>
    <t>Ella</t>
  </si>
  <si>
    <t>Shivam_mish_021</t>
  </si>
  <si>
    <t>Shivam</t>
  </si>
  <si>
    <t xml:space="preserve">Details for Sum of TOTAL WORKING HOURSE - EMPLOYEE NAME: </t>
  </si>
  <si>
    <t/>
  </si>
  <si>
    <t>MANAGEMENT INFORMATION SYSTEM</t>
  </si>
  <si>
    <t>Report 1 : Working Hours</t>
  </si>
  <si>
    <t>Report 2 : Attended Calls</t>
  </si>
  <si>
    <t xml:space="preserve"> TOTAL WORKING HOURES</t>
  </si>
  <si>
    <t xml:space="preserve"> TOTAL  ATTENDED 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</si>
</sst>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h:mm:ss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i/>
      <u/>
      <sz val="14"/>
      <color theme="1"/>
      <name val="Aptos Narrow"/>
      <family val="2"/>
      <scheme val="minor"/>
    </font>
    <font>
      <b/>
      <sz val="20"/>
      <color rgb="FF000000"/>
      <name val="Aptos Narrow"/>
      <scheme val="minor"/>
    </font>
    <font>
      <b/>
      <i/>
      <sz val="14"/>
      <color rgb="FF000000"/>
      <name val="Franklin Gothic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21" fontId="0" fillId="0" borderId="0" xfId="0" applyNumberFormat="1"/>
    <xf numFmtId="9" fontId="0" fillId="0" borderId="0" xfId="0" applyNumberFormat="1"/>
    <xf numFmtId="10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0" fillId="0" borderId="0" xfId="0" pivotButton="1"/>
    <xf numFmtId="19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  <xf numFmtId="0" fontId="3" fillId="2" borderId="0" xfId="0" applyFont="1" applyFill="1" applyAlignment="1">
      <alignment horizontal="center" indent="2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indent="2"/>
    </xf>
    <xf numFmtId="165" fontId="0" fillId="0" borderId="0" xfId="0" applyNumberFormat="1"/>
  </cellXfs>
  <cellStyles count="1">
    <cellStyle name="Normal" xfId="0" builtinId="0"/>
  </cellStyles>
  <dxfs count="3">
    <dxf>
      <numFmt numFmtId="24" formatCode="h:mm:ss\ AM/PM"/>
    </dxf>
    <dxf>
      <numFmt numFmtId="24" formatCode="h:mm:ss\ AM/PM"/>
    </dxf>
    <dxf>
      <numFmt numFmtId="27" formatCode="m/d/yyyy\ h:m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[MIS_REPORT.xlsx]Dashboard!PivotTable2</c:name>
    <c:fmtId val="0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40404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</c:pivotFmt>
      <c:pivotFmt>
        <c:idx val="41"/>
        <c:spPr>
          <a:solidFill>
            <a:srgbClr val="637CEF"/>
          </a:solidFill>
          <a:ln>
            <a:noFill/>
          </a:ln>
          <a:effectLst/>
        </c:spPr>
      </c:pivotFmt>
      <c:pivotFmt>
        <c:idx val="42"/>
        <c:spPr>
          <a:solidFill>
            <a:srgbClr val="637CEF"/>
          </a:solidFill>
          <a:ln>
            <a:noFill/>
          </a:ln>
          <a:effectLst/>
        </c:spPr>
      </c:pivotFmt>
      <c:pivotFmt>
        <c:idx val="43"/>
        <c:spPr>
          <a:solidFill>
            <a:srgbClr val="637CEF"/>
          </a:solidFill>
          <a:ln>
            <a:noFill/>
          </a:ln>
          <a:effectLst/>
        </c:spPr>
      </c:pivotFmt>
      <c:pivotFmt>
        <c:idx val="44"/>
        <c:spPr>
          <a:solidFill>
            <a:srgbClr val="637CEF"/>
          </a:solidFill>
          <a:ln>
            <a:noFill/>
          </a:ln>
          <a:effectLst/>
        </c:spPr>
      </c:pivotFmt>
      <c:pivotFmt>
        <c:idx val="45"/>
        <c:spPr>
          <a:solidFill>
            <a:srgbClr val="637CEF"/>
          </a:solidFill>
          <a:ln>
            <a:noFill/>
          </a:ln>
          <a:effectLst/>
        </c:spPr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noFill/>
            <a:ln>
              <a:solidFill>
                <a:srgbClr val="40404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</c:pivotFmt>
      <c:pivotFmt>
        <c:idx val="48"/>
        <c:spPr>
          <a:solidFill>
            <a:srgbClr val="637CEF"/>
          </a:solidFill>
          <a:ln>
            <a:noFill/>
          </a:ln>
          <a:effectLst/>
        </c:spPr>
      </c:pivotFmt>
      <c:pivotFmt>
        <c:idx val="49"/>
        <c:spPr>
          <a:solidFill>
            <a:srgbClr val="637CEF"/>
          </a:solidFill>
          <a:ln>
            <a:noFill/>
          </a:ln>
          <a:effectLst/>
        </c:spPr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40404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noFill/>
            <a:ln>
              <a:solidFill>
                <a:srgbClr val="40404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</c:pivotFmt>
      <c:pivotFmt>
        <c:idx val="54"/>
        <c:spPr>
          <a:solidFill>
            <a:srgbClr val="637CEF"/>
          </a:solidFill>
          <a:ln>
            <a:noFill/>
          </a:ln>
          <a:effectLst/>
        </c:spPr>
      </c:pivotFmt>
      <c:pivotFmt>
        <c:idx val="55"/>
        <c:spPr>
          <a:solidFill>
            <a:srgbClr val="637CEF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C0-43A8-ACB2-BF948F52B3E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C0-43A8-ACB2-BF948F52B3E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C0-43A8-ACB2-BF948F52B3E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C0-43A8-ACB2-BF948F52B3E0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EC0-43A8-ACB2-BF948F52B3E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C0-43A8-ACB2-BF948F52B3E0}"/>
                </c:ext>
              </c:extLst>
            </c:dLbl>
            <c:spPr>
              <a:noFill/>
              <a:ln>
                <a:solidFill>
                  <a:srgbClr val="40404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Dashboard!$A$4:$A$8</c:f>
              <c:strCache>
                <c:ptCount val="5"/>
                <c:pt idx="0">
                  <c:v>Ava</c:v>
                </c:pt>
                <c:pt idx="1">
                  <c:v>Emma Johnson</c:v>
                </c:pt>
                <c:pt idx="2">
                  <c:v>Liam Williams</c:v>
                </c:pt>
                <c:pt idx="3">
                  <c:v>Noah</c:v>
                </c:pt>
                <c:pt idx="4">
                  <c:v>Olivia</c:v>
                </c:pt>
              </c:strCache>
            </c:strRef>
          </c:cat>
          <c:val>
            <c:numRef>
              <c:f>Dashboard!$B$4:$B$8</c:f>
              <c:numCache>
                <c:formatCode>hh:mm:ss</c:formatCode>
                <c:ptCount val="5"/>
                <c:pt idx="0">
                  <c:v>0.77425925925925931</c:v>
                </c:pt>
                <c:pt idx="1">
                  <c:v>0.60759259259259257</c:v>
                </c:pt>
                <c:pt idx="2">
                  <c:v>0.64925925925925931</c:v>
                </c:pt>
                <c:pt idx="3">
                  <c:v>0.73259259259259257</c:v>
                </c:pt>
                <c:pt idx="4">
                  <c:v>0.69092592592592594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C5A-4CEE-BA18-DD925D73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4084920066809834"/>
          <c:y val="2.7858179621524783E-2"/>
          <c:w val="0.25915085455082448"/>
          <c:h val="0.53841940713293179"/>
        </c:manualLayout>
      </c:layout>
      <c:overlay val="1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[MIS_REPORT.xlsx]Dashboard!PivotTable1</c:name>
    <c:fmtId val="0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Dashboard!$G$4:$G$9</c:f>
              <c:strCache>
                <c:ptCount val="6"/>
                <c:pt idx="0">
                  <c:v>Charlotte</c:v>
                </c:pt>
                <c:pt idx="1">
                  <c:v>Ella</c:v>
                </c:pt>
                <c:pt idx="2">
                  <c:v>Harper</c:v>
                </c:pt>
                <c:pt idx="3">
                  <c:v>Isabella</c:v>
                </c:pt>
                <c:pt idx="4">
                  <c:v>James</c:v>
                </c:pt>
                <c:pt idx="5">
                  <c:v>Olivia</c:v>
                </c:pt>
              </c:strCache>
            </c:strRef>
          </c:cat>
          <c:val>
            <c:numRef>
              <c:f>Dashboard!$H$4:$H$9</c:f>
              <c:numCache>
                <c:formatCode>General</c:formatCode>
                <c:ptCount val="6"/>
                <c:pt idx="0">
                  <c:v>150</c:v>
                </c:pt>
                <c:pt idx="1">
                  <c:v>150</c:v>
                </c:pt>
                <c:pt idx="2">
                  <c:v>160</c:v>
                </c:pt>
                <c:pt idx="3">
                  <c:v>160</c:v>
                </c:pt>
                <c:pt idx="4">
                  <c:v>150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4-4381-A37B-2B388099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96072"/>
        <c:axId val="19098120"/>
      </c:barChart>
      <c:catAx>
        <c:axId val="19096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 NAME</a:t>
                </a:r>
              </a:p>
            </c:rich>
          </c:tx>
          <c:layout>
            <c:manualLayout>
              <c:xMode val="edge"/>
              <c:yMode val="edge"/>
              <c:x val="0.41846973085472744"/>
              <c:y val="0.91803174897441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120"/>
        <c:crosses val="autoZero"/>
        <c:auto val="1"/>
        <c:lblAlgn val="ctr"/>
        <c:lblOffset val="100"/>
        <c:noMultiLvlLbl val="0"/>
      </c:catAx>
      <c:valAx>
        <c:axId val="1909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CALL ATTEND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28575</xdr:rowOff>
    </xdr:from>
    <xdr:to>
      <xdr:col>4</xdr:col>
      <xdr:colOff>314325</xdr:colOff>
      <xdr:row>22</xdr:row>
      <xdr:rowOff>57150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BC03BA9F-E69E-6F10-07C1-666DAA2D9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407670</xdr:colOff>
      <xdr:row>9</xdr:row>
      <xdr:rowOff>26670</xdr:rowOff>
    </xdr:from>
    <xdr:to>
      <xdr:col>13</xdr:col>
      <xdr:colOff>131445</xdr:colOff>
      <xdr:row>23</xdr:row>
      <xdr:rowOff>102870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BF8C0D17-F3E0-570F-8567-C7F68057FDFB}"/>
            </a:ext>
            <a:ext uri="{147F2762-F138-4A5C-976F-8EAC2B608ADB}">
              <a16:predDERef xmlns:a16="http://schemas.microsoft.com/office/drawing/2014/main" pred="{BC03BA9F-E69E-6F10-07C1-666DAA2D9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4.458777083331" createdVersion="8" refreshedVersion="8" minRefreshableVersion="3" recordCount="20" xr:uid="{6B63FB53-BBE2-47A1-9F5F-F1C286E6008B}">
  <cacheSource type="worksheet">
    <worksheetSource ref="A1:G21" sheet="SUMMARY"/>
  </cacheSource>
  <cacheFields count="7">
    <cacheField name="EMPLOYEE" numFmtId="0">
      <sharedItems containsBlank="1" count="20">
        <s v="Emma Johnson_002"/>
        <s v="Liam Williams_003"/>
        <s v="Olivia Brown_004"/>
        <s v="Noah Jones_005"/>
        <s v="Ava Miller_006"/>
        <s v="William Davis_007"/>
        <s v="Sophia Garcia_008"/>
        <s v="James Rodriguez_009"/>
        <s v="Isabella Wilson_010"/>
        <s v="Michael Moore_011"/>
        <s v="Mia Taylor_012"/>
        <s v="BenjaminAnderson_013"/>
        <s v="Charlotte Thomas_014"/>
        <s v="Elijah Jackson_015"/>
        <s v="Amelia White_016"/>
        <s v="Logan Harris_017"/>
        <s v="Harper Martin_018"/>
        <s v="Alexander Lee_019"/>
        <s v="Ella Perez_020"/>
        <m/>
      </sharedItems>
    </cacheField>
    <cacheField name="EMPLOYEE NAME" numFmtId="0">
      <sharedItems count="20">
        <s v="Emma Johnson"/>
        <s v="Liam Williams"/>
        <s v="Olivia"/>
        <s v="Noah"/>
        <s v="Ava"/>
        <s v="WiIlliam"/>
        <s v="Sophia"/>
        <s v="James"/>
        <s v="Isabella"/>
        <s v="Michael"/>
        <s v="Mia"/>
        <s v="BenjaminAnderson"/>
        <s v="Charlotte"/>
        <s v="EliJah"/>
        <s v="Amelia"/>
        <s v="Logan"/>
        <s v="Harper"/>
        <s v="Alexander"/>
        <s v="Ella"/>
        <s v=""/>
      </sharedItems>
    </cacheField>
    <cacheField name="TOTAL WORKING HOURSE" numFmtId="21">
      <sharedItems containsSemiMixedTypes="0" containsNonDate="0" containsDate="1" containsString="0" minDate="1899-12-30T14:34:56" maxDate="1899-12-31T09:34:56" count="20">
        <d v="1899-12-30T14:34:56"/>
        <d v="1899-12-30T15:34:56"/>
        <d v="1899-12-30T16:34:56"/>
        <d v="1899-12-30T17:34:56"/>
        <d v="1899-12-30T18:34:56"/>
        <d v="1899-12-30T19:34:56"/>
        <d v="1899-12-30T20:34:56"/>
        <d v="1899-12-30T21:34:56"/>
        <d v="1899-12-30T22:34:56"/>
        <d v="1899-12-30T23:34:56"/>
        <d v="1899-12-31T00:34:56"/>
        <d v="1899-12-31T01:34:56"/>
        <d v="1899-12-31T02:34:56"/>
        <d v="1899-12-31T03:34:56"/>
        <d v="1899-12-31T04:34:56"/>
        <d v="1899-12-31T05:34:56"/>
        <d v="1899-12-31T06:34:56"/>
        <d v="1899-12-31T07:34:56"/>
        <d v="1899-12-31T08:34:56"/>
        <d v="1899-12-31T09:34:56"/>
      </sharedItems>
    </cacheField>
    <cacheField name="WORK EFFICIENCY" numFmtId="21">
      <sharedItems containsSemiMixedTypes="0" containsNonDate="0" containsDate="1" containsString="0" minDate="1899-12-30T01:15:57" maxDate="1899-12-30T12:53:14" count="20">
        <d v="1899-12-30T12:34:56"/>
        <d v="1899-12-30T01:15:57"/>
        <d v="1899-12-30T01:56:58"/>
        <d v="1899-12-30T02:37:59"/>
        <d v="1899-12-30T03:19:00"/>
        <d v="1899-12-30T04:00:01"/>
        <d v="1899-12-30T04:41:02"/>
        <d v="1899-12-30T05:22:03"/>
        <d v="1899-12-30T06:03:04"/>
        <d v="1899-12-30T06:44:05"/>
        <d v="1899-12-30T07:25:06"/>
        <d v="1899-12-30T08:06:07"/>
        <d v="1899-12-30T08:47:08"/>
        <d v="1899-12-30T09:28:09"/>
        <d v="1899-12-30T10:09:10"/>
        <d v="1899-12-30T10:50:11"/>
        <d v="1899-12-30T11:31:12"/>
        <d v="1899-12-30T12:12:13"/>
        <d v="1899-12-30T12:53:14"/>
        <d v="1899-12-30T01:34:15"/>
      </sharedItems>
    </cacheField>
    <cacheField name="TOTAL BREAK TAKEN" numFmtId="21">
      <sharedItems containsSemiMixedTypes="0" containsNonDate="0" containsDate="1" containsString="0" minDate="1899-12-30T01:15:57" maxDate="1899-12-30T23:34:56" count="20">
        <d v="1899-12-30T23:34:56"/>
        <d v="1899-12-30T01:15:57"/>
        <d v="1899-12-30T02:15:57"/>
        <d v="1899-12-30T03:15:57"/>
        <d v="1899-12-30T04:15:57"/>
        <d v="1899-12-30T05:15:57"/>
        <d v="1899-12-30T06:15:57"/>
        <d v="1899-12-30T07:15:57"/>
        <d v="1899-12-30T08:15:57"/>
        <d v="1899-12-30T09:15:57"/>
        <d v="1899-12-30T10:15:57"/>
        <d v="1899-12-30T11:15:57"/>
        <d v="1899-12-30T12:15:57"/>
        <d v="1899-12-30T13:15:57"/>
        <d v="1899-12-30T14:15:57"/>
        <d v="1899-12-30T15:15:57"/>
        <d v="1899-12-30T16:15:57"/>
        <d v="1899-12-30T17:15:57"/>
        <d v="1899-12-30T18:15:57"/>
        <d v="1899-12-30T19:15:57"/>
      </sharedItems>
    </cacheField>
    <cacheField name="ATTENDED CALLS" numFmtId="0">
      <sharedItems containsString="0" containsBlank="1" containsNumber="1" containsInteger="1" minValue="110" maxValue="160"/>
    </cacheField>
    <cacheField name="ACTIVE With Cust" numFmtId="0">
      <sharedItems containsString="0" containsBlank="1" containsNumber="1" minValue="0.35" maxValue="0.45" count="7">
        <n v="0.42"/>
        <n v="0.4"/>
        <n v="0.45"/>
        <n v="0.35"/>
        <n v="0.38"/>
        <n v="0.3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  <n v="135"/>
    <x v="0"/>
  </r>
  <r>
    <x v="1"/>
    <x v="1"/>
    <x v="1"/>
    <x v="1"/>
    <x v="1"/>
    <n v="140"/>
    <x v="1"/>
  </r>
  <r>
    <x v="2"/>
    <x v="2"/>
    <x v="2"/>
    <x v="2"/>
    <x v="2"/>
    <n v="150"/>
    <x v="2"/>
  </r>
  <r>
    <x v="3"/>
    <x v="3"/>
    <x v="3"/>
    <x v="3"/>
    <x v="3"/>
    <n v="110"/>
    <x v="3"/>
  </r>
  <r>
    <x v="4"/>
    <x v="4"/>
    <x v="4"/>
    <x v="4"/>
    <x v="4"/>
    <n v="125"/>
    <x v="4"/>
  </r>
  <r>
    <x v="5"/>
    <x v="5"/>
    <x v="5"/>
    <x v="5"/>
    <x v="5"/>
    <n v="138"/>
    <x v="5"/>
  </r>
  <r>
    <x v="6"/>
    <x v="6"/>
    <x v="6"/>
    <x v="6"/>
    <x v="6"/>
    <n v="142"/>
    <x v="0"/>
  </r>
  <r>
    <x v="7"/>
    <x v="7"/>
    <x v="7"/>
    <x v="7"/>
    <x v="7"/>
    <n v="150"/>
    <x v="1"/>
  </r>
  <r>
    <x v="8"/>
    <x v="8"/>
    <x v="8"/>
    <x v="8"/>
    <x v="8"/>
    <n v="160"/>
    <x v="2"/>
  </r>
  <r>
    <x v="9"/>
    <x v="9"/>
    <x v="9"/>
    <x v="9"/>
    <x v="9"/>
    <n v="140"/>
    <x v="4"/>
  </r>
  <r>
    <x v="10"/>
    <x v="10"/>
    <x v="10"/>
    <x v="10"/>
    <x v="10"/>
    <n v="135"/>
    <x v="5"/>
  </r>
  <r>
    <x v="11"/>
    <x v="11"/>
    <x v="11"/>
    <x v="11"/>
    <x v="11"/>
    <n v="145"/>
    <x v="1"/>
  </r>
  <r>
    <x v="12"/>
    <x v="12"/>
    <x v="12"/>
    <x v="12"/>
    <x v="12"/>
    <n v="150"/>
    <x v="0"/>
  </r>
  <r>
    <x v="13"/>
    <x v="13"/>
    <x v="13"/>
    <x v="13"/>
    <x v="13"/>
    <n v="138"/>
    <x v="4"/>
  </r>
  <r>
    <x v="14"/>
    <x v="14"/>
    <x v="14"/>
    <x v="14"/>
    <x v="14"/>
    <n v="140"/>
    <x v="1"/>
  </r>
  <r>
    <x v="15"/>
    <x v="15"/>
    <x v="15"/>
    <x v="15"/>
    <x v="15"/>
    <n v="145"/>
    <x v="5"/>
  </r>
  <r>
    <x v="16"/>
    <x v="16"/>
    <x v="16"/>
    <x v="16"/>
    <x v="16"/>
    <n v="160"/>
    <x v="2"/>
  </r>
  <r>
    <x v="17"/>
    <x v="17"/>
    <x v="17"/>
    <x v="17"/>
    <x v="17"/>
    <n v="138"/>
    <x v="4"/>
  </r>
  <r>
    <x v="18"/>
    <x v="18"/>
    <x v="18"/>
    <x v="18"/>
    <x v="18"/>
    <n v="150"/>
    <x v="6"/>
  </r>
  <r>
    <x v="19"/>
    <x v="19"/>
    <x v="19"/>
    <x v="19"/>
    <x v="19"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FBF31-B6DB-4743-B813-567F0797A167}" name="PivotTable1" cacheId="64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G3:H9" firstHeaderRow="1" firstDataRow="1" firstDataCol="1"/>
  <pivotFields count="7">
    <pivotField compact="0" outline="0" showAll="0">
      <items count="21">
        <item x="17"/>
        <item x="14"/>
        <item x="4"/>
        <item x="11"/>
        <item x="12"/>
        <item x="13"/>
        <item x="18"/>
        <item x="0"/>
        <item x="16"/>
        <item x="8"/>
        <item x="7"/>
        <item x="1"/>
        <item x="15"/>
        <item x="10"/>
        <item x="9"/>
        <item x="3"/>
        <item x="2"/>
        <item x="6"/>
        <item x="5"/>
        <item x="19"/>
        <item t="default"/>
      </items>
    </pivotField>
    <pivotField axis="axisRow" compact="0" outline="0" showAll="0" measureFilter="1">
      <items count="21">
        <item x="19"/>
        <item x="17"/>
        <item x="14"/>
        <item x="4"/>
        <item x="11"/>
        <item x="12"/>
        <item x="13"/>
        <item x="18"/>
        <item x="0"/>
        <item x="16"/>
        <item x="8"/>
        <item x="7"/>
        <item x="1"/>
        <item x="15"/>
        <item x="10"/>
        <item x="9"/>
        <item x="3"/>
        <item x="2"/>
        <item x="6"/>
        <item x="5"/>
        <item t="default"/>
      </items>
    </pivotField>
    <pivotField compact="0" numFmtId="21" outline="0" showAll="0"/>
    <pivotField compact="0" numFmtId="21" outline="0" showAll="0"/>
    <pivotField compact="0" numFmtId="21" outline="0" showAll="0">
      <items count="2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0"/>
        <item t="default"/>
      </items>
    </pivotField>
    <pivotField dataField="1" compact="0" outline="0" showAll="0"/>
    <pivotField compact="0" outline="0" showAll="0">
      <items count="8">
        <item x="3"/>
        <item x="4"/>
        <item x="5"/>
        <item x="1"/>
        <item x="0"/>
        <item x="2"/>
        <item x="6"/>
        <item t="default"/>
      </items>
    </pivotField>
  </pivotFields>
  <rowFields count="1">
    <field x="1"/>
  </rowFields>
  <rowItems count="6">
    <i>
      <x v="5"/>
    </i>
    <i>
      <x v="7"/>
    </i>
    <i>
      <x v="9"/>
    </i>
    <i>
      <x v="10"/>
    </i>
    <i>
      <x v="11"/>
    </i>
    <i>
      <x v="17"/>
    </i>
  </rowItems>
  <colItems count="1">
    <i/>
  </colItems>
  <dataFields count="1">
    <dataField name=" TOTAL  ATTENDED  CALLS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F48B7-9840-4794-9228-9FFE5B2BFCCD}" name="PivotTable2" cacheId="641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 fieldListSortAscending="1">
  <location ref="A3:B8" firstHeaderRow="1" firstDataRow="1" firstDataCol="1"/>
  <pivotFields count="7">
    <pivotField compact="0" outline="0" showAll="0"/>
    <pivotField axis="axisRow" compact="0" outline="0" showAll="0" measureFilter="1">
      <items count="21">
        <item x="19"/>
        <item x="17"/>
        <item x="14"/>
        <item x="4"/>
        <item x="11"/>
        <item x="12"/>
        <item x="13"/>
        <item x="18"/>
        <item x="0"/>
        <item x="16"/>
        <item x="8"/>
        <item x="7"/>
        <item x="1"/>
        <item x="15"/>
        <item x="10"/>
        <item x="9"/>
        <item x="3"/>
        <item x="2"/>
        <item x="6"/>
        <item x="5"/>
        <item t="default"/>
      </items>
    </pivotField>
    <pivotField dataField="1" compact="0" numFmtId="165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65" outline="0" showAll="0">
      <items count="21">
        <item x="1"/>
        <item x="1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x="18"/>
        <item t="default"/>
      </items>
    </pivotField>
    <pivotField compact="0" numFmtId="165" outline="0" showAll="0"/>
    <pivotField compact="0" outline="0" showAll="0"/>
    <pivotField compact="0" outline="0" showAll="0"/>
  </pivotFields>
  <rowFields count="1">
    <field x="1"/>
  </rowFields>
  <rowItems count="5">
    <i>
      <x v="3"/>
    </i>
    <i>
      <x v="8"/>
    </i>
    <i>
      <x v="12"/>
    </i>
    <i>
      <x v="16"/>
    </i>
    <i>
      <x v="17"/>
    </i>
  </rowItems>
  <colItems count="1">
    <i/>
  </colItems>
  <dataFields count="1">
    <dataField name=" TOTAL WORKING HOURES" fld="2" baseField="0" baseItem="0" numFmtId="165"/>
  </dataFields>
  <chartFormats count="6">
    <chartFormat chart="0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D6D9F-E227-4931-9755-FE0D19D3044A}" name="Table1" displayName="Table1" ref="A3:G4" totalsRowShown="0">
  <autoFilter ref="A3:G4" xr:uid="{4AAD6D9F-E227-4931-9755-FE0D19D3044A}"/>
  <tableColumns count="7">
    <tableColumn id="1" xr3:uid="{C281AF02-10DE-4AD1-9517-A1C32C9892D2}" name="EMPLOYEE"/>
    <tableColumn id="2" xr3:uid="{16F6AD77-1FC7-45D2-9744-E87AA6C59274}" name="EMPLOYEE NAME"/>
    <tableColumn id="3" xr3:uid="{AB4123E8-6D9C-406D-88B8-25AA3F8FD15C}" name="TOTAL WORKING HOURSE" dataDxfId="2"/>
    <tableColumn id="4" xr3:uid="{926497F9-F89B-44A5-9A1F-CFC98D80F399}" name="WORK EFFICIENCY" dataDxfId="1"/>
    <tableColumn id="5" xr3:uid="{3B2A294A-CD0A-4347-8569-B5A6FE10A107}" name="TOTAL BREAK TAKEN" dataDxfId="0"/>
    <tableColumn id="6" xr3:uid="{605A85A2-5057-499C-A3D4-2A6C514FCF1B}" name="ATTENDED CALLS"/>
    <tableColumn id="7" xr3:uid="{ABB4B8AB-C6FA-4BFF-9CD5-C16F02541623}" name="ACTIVE With Cu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I19" sqref="I19"/>
    </sheetView>
  </sheetViews>
  <sheetFormatPr defaultRowHeight="15"/>
  <cols>
    <col min="1" max="1" width="22.140625" bestFit="1" customWidth="1"/>
    <col min="2" max="2" width="12.7109375" customWidth="1"/>
    <col min="3" max="3" width="17.5703125" customWidth="1"/>
    <col min="4" max="4" width="13.28515625" customWidth="1"/>
    <col min="5" max="5" width="12.85546875" customWidth="1"/>
    <col min="6" max="6" width="12.5703125" customWidth="1"/>
    <col min="7" max="7" width="17.7109375" bestFit="1" customWidth="1"/>
    <col min="8" max="8" width="13" bestFit="1" customWidth="1"/>
    <col min="9" max="9" width="21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2.34375E-2</v>
      </c>
      <c r="C2" s="2">
        <v>2.8611111111111111E-2</v>
      </c>
      <c r="D2" s="2">
        <v>9.2592592592592588E-5</v>
      </c>
      <c r="E2" s="2">
        <v>1.3888888888888889E-4</v>
      </c>
      <c r="F2" s="2">
        <v>3.0092592592592593E-3</v>
      </c>
      <c r="G2" s="2">
        <v>3.7615740740740741E-2</v>
      </c>
      <c r="H2" s="2">
        <v>5.7870370370370373E-5</v>
      </c>
      <c r="I2" s="2">
        <v>7.3437500000000003E-2</v>
      </c>
    </row>
    <row r="3" spans="1:9">
      <c r="A3" t="s">
        <v>10</v>
      </c>
      <c r="B3" s="2">
        <v>2.3726851851851853E-2</v>
      </c>
      <c r="C3" s="2">
        <v>2.9224537037037038E-2</v>
      </c>
      <c r="D3" s="2">
        <v>1.7361111111111112E-4</v>
      </c>
      <c r="E3" s="2">
        <v>2.0833333333333335E-4</v>
      </c>
      <c r="F3" s="2">
        <v>3.0671296296296297E-3</v>
      </c>
      <c r="G3" s="2">
        <v>3.7546296296296293E-2</v>
      </c>
      <c r="H3" s="2">
        <v>2.3148148148148147E-5</v>
      </c>
      <c r="I3" s="2">
        <v>0.10746527777777778</v>
      </c>
    </row>
    <row r="4" spans="1:9">
      <c r="A4" t="s">
        <v>11</v>
      </c>
      <c r="B4" s="2">
        <v>2.3553240740740739E-2</v>
      </c>
      <c r="C4" s="2">
        <v>2.8344907407407409E-2</v>
      </c>
      <c r="D4" s="2">
        <v>5.7870370370370373E-5</v>
      </c>
      <c r="E4" s="2">
        <v>2.3148148148148149E-4</v>
      </c>
      <c r="F4" s="2">
        <v>3.1250000000000002E-3</v>
      </c>
      <c r="G4" s="2">
        <v>3.7731481481481484E-2</v>
      </c>
      <c r="H4" s="2">
        <v>3.4722222222222222E-5</v>
      </c>
      <c r="I4" s="2">
        <v>0.141493055555556</v>
      </c>
    </row>
    <row r="5" spans="1:9">
      <c r="A5" t="s">
        <v>12</v>
      </c>
      <c r="B5" s="2">
        <v>2.2800925925925926E-2</v>
      </c>
      <c r="C5" s="2">
        <v>2.8703703703703703E-2</v>
      </c>
      <c r="D5" s="2">
        <v>1.1574074074074075E-4</v>
      </c>
      <c r="E5" s="2">
        <v>1.7361111111111112E-4</v>
      </c>
      <c r="F5" s="2">
        <v>2.9513888888888888E-3</v>
      </c>
      <c r="G5" s="2">
        <v>3.7442129629629631E-2</v>
      </c>
      <c r="H5" s="2">
        <v>1.1574074074074073E-5</v>
      </c>
      <c r="I5" s="2">
        <v>0.17552083333333299</v>
      </c>
    </row>
    <row r="6" spans="1:9">
      <c r="A6" t="s">
        <v>13</v>
      </c>
      <c r="B6" s="2">
        <v>2.3842592592592592E-2</v>
      </c>
      <c r="C6" s="2">
        <v>2.841435185185185E-2</v>
      </c>
      <c r="D6" s="2">
        <v>1.3888888888888889E-4</v>
      </c>
      <c r="E6" s="2">
        <v>1.1574074074074075E-4</v>
      </c>
      <c r="F6" s="2">
        <v>2.8356481481481483E-3</v>
      </c>
      <c r="G6" s="2">
        <v>3.784722222222222E-2</v>
      </c>
      <c r="H6" s="2">
        <v>4.6296296296296294E-5</v>
      </c>
      <c r="I6" s="2">
        <v>0.20954861111111101</v>
      </c>
    </row>
    <row r="7" spans="1:9">
      <c r="A7" t="s">
        <v>14</v>
      </c>
      <c r="B7" s="2">
        <v>2.3379629629629629E-2</v>
      </c>
      <c r="C7" s="2">
        <v>2.9282407407407406E-2</v>
      </c>
      <c r="D7" s="2">
        <v>2.3148148148148149E-4</v>
      </c>
      <c r="E7" s="2">
        <v>9.2592592592592588E-5</v>
      </c>
      <c r="F7" s="2">
        <v>2.8935185185185184E-3</v>
      </c>
      <c r="G7" s="2">
        <v>3.7673611111111109E-2</v>
      </c>
      <c r="H7" s="2">
        <v>2.3148148148148147E-5</v>
      </c>
      <c r="I7" s="2">
        <v>0.24357638888888899</v>
      </c>
    </row>
    <row r="8" spans="1:9">
      <c r="A8" t="s">
        <v>15</v>
      </c>
      <c r="B8" s="2">
        <v>2.3668981481481482E-2</v>
      </c>
      <c r="C8" s="2">
        <v>2.8530092592592593E-2</v>
      </c>
      <c r="D8" s="2">
        <v>5.7870370370370373E-5</v>
      </c>
      <c r="E8" s="2">
        <v>1.3888888888888889E-4</v>
      </c>
      <c r="F8" s="2">
        <v>3.0671296296296297E-3</v>
      </c>
      <c r="G8" s="2">
        <v>3.7499999999999999E-2</v>
      </c>
      <c r="H8" s="2">
        <v>3.4722222222222222E-5</v>
      </c>
      <c r="I8" s="2">
        <v>0.15260416666666668</v>
      </c>
    </row>
    <row r="9" spans="1:9">
      <c r="A9" t="s">
        <v>16</v>
      </c>
      <c r="B9" s="2">
        <v>2.3495370370370371E-2</v>
      </c>
      <c r="C9" s="2">
        <v>2.8356481481481483E-2</v>
      </c>
      <c r="D9" s="2">
        <v>9.2592592592592588E-5</v>
      </c>
      <c r="E9" s="2">
        <v>1.7361111111111112E-4</v>
      </c>
      <c r="F9" s="2">
        <v>3.1250000000000002E-3</v>
      </c>
      <c r="G9" s="2">
        <v>3.7615740740740741E-2</v>
      </c>
      <c r="H9" s="2">
        <v>1.1574074074074073E-5</v>
      </c>
      <c r="I9" s="2">
        <v>0.1032986111111111</v>
      </c>
    </row>
    <row r="10" spans="1:9">
      <c r="A10" t="s">
        <v>17</v>
      </c>
      <c r="B10" s="2">
        <v>2.3784722222222221E-2</v>
      </c>
      <c r="C10" s="2">
        <v>2.9166666666666667E-2</v>
      </c>
      <c r="D10" s="2">
        <v>1.3888888888888889E-4</v>
      </c>
      <c r="E10" s="2">
        <v>1.1574074074074075E-4</v>
      </c>
      <c r="F10" s="2">
        <v>3.0092592592592593E-3</v>
      </c>
      <c r="G10" s="2">
        <v>3.7557870370370373E-2</v>
      </c>
      <c r="H10" s="2">
        <v>2.3148148148148147E-5</v>
      </c>
      <c r="I10" s="2">
        <v>0.17899305555555556</v>
      </c>
    </row>
    <row r="11" spans="1:9">
      <c r="A11" t="s">
        <v>18</v>
      </c>
      <c r="B11" s="2">
        <v>2.3321759259259261E-2</v>
      </c>
      <c r="C11" s="2">
        <v>2.8645833333333332E-2</v>
      </c>
      <c r="D11" s="2">
        <v>1.1574074074074075E-4</v>
      </c>
      <c r="E11" s="2">
        <v>1.3888888888888889E-4</v>
      </c>
      <c r="F11" s="2">
        <v>2.8935185185185184E-3</v>
      </c>
      <c r="G11" s="2">
        <v>3.7638888888888888E-2</v>
      </c>
      <c r="H11" s="2">
        <v>3.4722222222222222E-5</v>
      </c>
      <c r="I11" s="2">
        <v>8.802083333333334E-2</v>
      </c>
    </row>
    <row r="12" spans="1:9">
      <c r="A12" t="s">
        <v>19</v>
      </c>
      <c r="B12" s="2">
        <v>2.361111111111111E-2</v>
      </c>
      <c r="C12" s="2">
        <v>2.841435185185185E-2</v>
      </c>
      <c r="D12" s="2">
        <v>8.1018518518518516E-5</v>
      </c>
      <c r="E12" s="2">
        <v>2.0833333333333335E-4</v>
      </c>
      <c r="F12" s="2">
        <v>3.0671296296296297E-3</v>
      </c>
      <c r="G12" s="2">
        <v>3.7592592592592594E-2</v>
      </c>
      <c r="H12" s="2">
        <v>4.6296296296296294E-5</v>
      </c>
      <c r="I12" s="2">
        <v>8.038194444444445E-2</v>
      </c>
    </row>
    <row r="13" spans="1:9">
      <c r="A13" t="s">
        <v>20</v>
      </c>
      <c r="B13" s="2">
        <v>2.34375E-2</v>
      </c>
      <c r="C13" s="2">
        <v>2.8703703703703703E-2</v>
      </c>
      <c r="D13" s="2">
        <v>5.7870370370370373E-5</v>
      </c>
      <c r="E13" s="2">
        <v>1.3888888888888889E-4</v>
      </c>
      <c r="F13" s="2">
        <v>2.9513888888888888E-3</v>
      </c>
      <c r="G13" s="2">
        <v>3.7615740740740741E-2</v>
      </c>
      <c r="H13" s="2">
        <v>2.3148148148148147E-5</v>
      </c>
      <c r="I13" s="2">
        <v>3.107638888888889E-2</v>
      </c>
    </row>
    <row r="14" spans="1:9">
      <c r="A14" t="s">
        <v>21</v>
      </c>
      <c r="B14" s="2">
        <v>2.3726851851851853E-2</v>
      </c>
      <c r="C14" s="2">
        <v>2.8356481481481483E-2</v>
      </c>
      <c r="D14" s="2">
        <v>1.1574074074074075E-4</v>
      </c>
      <c r="E14" s="2">
        <v>1.1574074074074075E-4</v>
      </c>
      <c r="F14" s="2">
        <v>3.0092592592592593E-3</v>
      </c>
      <c r="G14" s="2">
        <v>3.7673611111111109E-2</v>
      </c>
      <c r="H14" s="2">
        <v>1.1574074074074073E-5</v>
      </c>
      <c r="I14" s="2">
        <v>6.5104166666666671E-2</v>
      </c>
    </row>
    <row r="15" spans="1:9">
      <c r="A15" t="s">
        <v>22</v>
      </c>
      <c r="B15" s="2">
        <v>2.3495370370370371E-2</v>
      </c>
      <c r="C15" s="2">
        <v>2.9224537037037038E-2</v>
      </c>
      <c r="D15" s="2">
        <v>9.2592592592592588E-5</v>
      </c>
      <c r="E15" s="2">
        <v>1.3888888888888889E-4</v>
      </c>
      <c r="F15" s="2">
        <v>3.1250000000000002E-3</v>
      </c>
      <c r="G15" s="2">
        <v>3.7557870370370373E-2</v>
      </c>
      <c r="H15" s="2">
        <v>3.4722222222222222E-5</v>
      </c>
      <c r="I15" s="2">
        <v>0.106770833333333</v>
      </c>
    </row>
    <row r="16" spans="1:9">
      <c r="A16" t="s">
        <v>23</v>
      </c>
      <c r="B16" s="2">
        <v>2.3842592592592592E-2</v>
      </c>
      <c r="C16" s="2">
        <v>2.8587962962962964E-2</v>
      </c>
      <c r="D16" s="2">
        <v>1.3888888888888889E-4</v>
      </c>
      <c r="E16" s="2">
        <v>1.7361111111111112E-4</v>
      </c>
      <c r="F16" s="2">
        <v>2.8935185185185184E-3</v>
      </c>
      <c r="G16" s="2">
        <v>3.7638888888888888E-2</v>
      </c>
      <c r="H16" s="2">
        <v>2.3148148148148147E-5</v>
      </c>
      <c r="I16" s="2">
        <v>0.1484375</v>
      </c>
    </row>
    <row r="17" spans="1:9">
      <c r="A17" t="s">
        <v>24</v>
      </c>
      <c r="B17" s="2">
        <v>2.3553240740740739E-2</v>
      </c>
      <c r="C17" s="2">
        <v>2.841435185185185E-2</v>
      </c>
      <c r="D17" s="2">
        <v>5.7870370370370373E-5</v>
      </c>
      <c r="E17" s="2">
        <v>1.1574074074074075E-4</v>
      </c>
      <c r="F17" s="2">
        <v>3.0671296296296297E-3</v>
      </c>
      <c r="G17" s="2">
        <v>3.7499999999999999E-2</v>
      </c>
      <c r="H17" s="2">
        <v>4.6296296296296294E-5</v>
      </c>
      <c r="I17" s="2">
        <v>0.19010416666666699</v>
      </c>
    </row>
    <row r="18" spans="1:9">
      <c r="A18" t="s">
        <v>25</v>
      </c>
      <c r="B18" s="2">
        <v>2.3668981481481482E-2</v>
      </c>
      <c r="C18" s="2">
        <v>2.8645833333333332E-2</v>
      </c>
      <c r="D18" s="2">
        <v>8.1018518518518516E-5</v>
      </c>
      <c r="E18" s="2">
        <v>1.3888888888888889E-4</v>
      </c>
      <c r="F18" s="2">
        <v>2.9513888888888888E-3</v>
      </c>
      <c r="G18" s="2">
        <v>3.7615740740740741E-2</v>
      </c>
      <c r="H18" s="2">
        <v>2.3148148148148147E-5</v>
      </c>
      <c r="I18" s="2">
        <v>0.23177083333333301</v>
      </c>
    </row>
    <row r="19" spans="1:9">
      <c r="A19" t="s">
        <v>26</v>
      </c>
      <c r="B19" s="2">
        <v>2.3379629629629629E-2</v>
      </c>
      <c r="C19" s="2">
        <v>2.9282407407407406E-2</v>
      </c>
      <c r="D19" s="2">
        <v>9.2592592592592588E-5</v>
      </c>
      <c r="E19" s="2">
        <v>9.2592592592592588E-5</v>
      </c>
      <c r="F19" s="2">
        <v>3.1250000000000002E-3</v>
      </c>
      <c r="G19" s="2">
        <v>3.7557870370370373E-2</v>
      </c>
      <c r="H19" s="2">
        <v>1.1574074074074073E-5</v>
      </c>
      <c r="I19" s="2">
        <v>0.2734375</v>
      </c>
    </row>
    <row r="20" spans="1:9">
      <c r="A20" t="s">
        <v>27</v>
      </c>
      <c r="B20" s="2">
        <v>2.3726851851851853E-2</v>
      </c>
      <c r="C20" s="2">
        <v>2.8356481481481483E-2</v>
      </c>
      <c r="D20" s="2">
        <v>5.7870370370370373E-5</v>
      </c>
      <c r="E20" s="2">
        <v>1.7361111111111112E-4</v>
      </c>
      <c r="F20" s="2">
        <v>3.0092592592592593E-3</v>
      </c>
      <c r="G20" s="2">
        <v>3.7638888888888888E-2</v>
      </c>
      <c r="H20" s="2">
        <v>3.4722222222222222E-5</v>
      </c>
      <c r="I20" s="2">
        <v>0.10677083333333333</v>
      </c>
    </row>
    <row r="21" spans="1:9">
      <c r="A21" t="s">
        <v>28</v>
      </c>
      <c r="B21" s="2">
        <v>2.34375E-2</v>
      </c>
      <c r="C21" s="2">
        <v>2.8530092592592593E-2</v>
      </c>
      <c r="D21" s="2">
        <v>1.1574074074074075E-4</v>
      </c>
      <c r="E21" s="2">
        <v>1.1574074074074075E-4</v>
      </c>
      <c r="F21" s="2">
        <v>3.0671296296296297E-3</v>
      </c>
      <c r="G21" s="2">
        <v>3.7615740740740741E-2</v>
      </c>
      <c r="H21" s="2">
        <v>2.3148148148148147E-5</v>
      </c>
      <c r="I21" s="2">
        <v>0.1484375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7D9B-5380-47C6-A8E1-82E6224F83CA}">
  <dimension ref="A1:K21"/>
  <sheetViews>
    <sheetView workbookViewId="0">
      <selection activeCell="B2" sqref="B2"/>
    </sheetView>
  </sheetViews>
  <sheetFormatPr defaultRowHeight="15"/>
  <cols>
    <col min="1" max="1" width="24.42578125" customWidth="1"/>
    <col min="2" max="2" width="22.5703125" bestFit="1" customWidth="1"/>
    <col min="3" max="3" width="17.5703125" bestFit="1" customWidth="1"/>
    <col min="4" max="4" width="16.28515625" bestFit="1" customWidth="1"/>
    <col min="5" max="5" width="21.85546875" bestFit="1" customWidth="1"/>
    <col min="6" max="6" width="11.85546875" bestFit="1" customWidth="1"/>
    <col min="8" max="8" width="16" bestFit="1" customWidth="1"/>
    <col min="9" max="9" width="13.7109375" bestFit="1" customWidth="1"/>
    <col min="10" max="10" width="20.42578125" bestFit="1" customWidth="1"/>
    <col min="11" max="11" width="13.28515625" bestFit="1" customWidth="1"/>
  </cols>
  <sheetData>
    <row r="1" spans="1:1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 t="s">
        <v>39</v>
      </c>
      <c r="B2" s="6">
        <v>0.36458333333333331</v>
      </c>
      <c r="C2" s="2">
        <v>0.19798611111111111</v>
      </c>
      <c r="D2">
        <v>120</v>
      </c>
      <c r="E2" s="4">
        <v>0.57399999999999995</v>
      </c>
      <c r="F2" s="3">
        <v>0.38</v>
      </c>
      <c r="G2" s="3">
        <v>0.05</v>
      </c>
      <c r="H2" s="3">
        <v>0.1</v>
      </c>
      <c r="I2">
        <v>25</v>
      </c>
      <c r="J2">
        <v>2</v>
      </c>
      <c r="K2" s="3">
        <v>0.9</v>
      </c>
    </row>
    <row r="3" spans="1:11">
      <c r="A3" t="s">
        <v>40</v>
      </c>
      <c r="B3" s="9">
        <v>3.125E-2</v>
      </c>
      <c r="C3" s="2">
        <v>0.19798611111111111</v>
      </c>
      <c r="D3">
        <v>135</v>
      </c>
      <c r="E3" s="4">
        <v>0.58399999999999996</v>
      </c>
      <c r="F3" s="3">
        <v>0.42</v>
      </c>
      <c r="G3" s="3">
        <v>0.04</v>
      </c>
      <c r="H3" s="3">
        <v>0.08</v>
      </c>
      <c r="I3">
        <v>28</v>
      </c>
      <c r="J3">
        <v>1</v>
      </c>
      <c r="K3" s="3">
        <v>0.92</v>
      </c>
    </row>
    <row r="4" spans="1:11">
      <c r="A4" t="s">
        <v>41</v>
      </c>
      <c r="B4" s="2">
        <v>3.125E-2</v>
      </c>
      <c r="C4" s="2">
        <v>0.19798611111111111</v>
      </c>
      <c r="D4">
        <v>140</v>
      </c>
      <c r="E4" s="4">
        <v>0.59399999999999997</v>
      </c>
      <c r="F4" s="3">
        <v>0.4</v>
      </c>
      <c r="G4" s="3">
        <v>0.06</v>
      </c>
      <c r="H4" s="3">
        <v>0.09</v>
      </c>
      <c r="I4">
        <v>30</v>
      </c>
      <c r="J4">
        <v>2</v>
      </c>
      <c r="K4" s="3">
        <v>0.91</v>
      </c>
    </row>
    <row r="5" spans="1:11">
      <c r="A5" t="s">
        <v>42</v>
      </c>
      <c r="B5" s="2">
        <v>3.125E-2</v>
      </c>
      <c r="C5" s="2">
        <v>0.19798611111111111</v>
      </c>
      <c r="D5">
        <v>150</v>
      </c>
      <c r="E5" s="4">
        <v>0.60399999999999998</v>
      </c>
      <c r="F5" s="3">
        <v>0.45</v>
      </c>
      <c r="G5" s="3">
        <v>0.05</v>
      </c>
      <c r="H5" s="3">
        <v>7.0000000000000007E-2</v>
      </c>
      <c r="I5">
        <v>32</v>
      </c>
      <c r="J5">
        <v>3</v>
      </c>
      <c r="K5" s="3">
        <v>0.93</v>
      </c>
    </row>
    <row r="6" spans="1:11">
      <c r="A6" t="s">
        <v>43</v>
      </c>
      <c r="B6" s="2">
        <v>3.125E-2</v>
      </c>
      <c r="C6" s="2">
        <v>0.19798611111111111</v>
      </c>
      <c r="D6">
        <v>110</v>
      </c>
      <c r="E6" s="4">
        <v>0.61399999999999999</v>
      </c>
      <c r="F6" s="3">
        <v>0.35</v>
      </c>
      <c r="G6" s="3">
        <v>7.0000000000000007E-2</v>
      </c>
      <c r="H6" s="3">
        <v>0.12</v>
      </c>
      <c r="I6">
        <v>20</v>
      </c>
      <c r="J6">
        <v>2</v>
      </c>
      <c r="K6" s="3">
        <v>0.88</v>
      </c>
    </row>
    <row r="7" spans="1:11">
      <c r="A7" t="s">
        <v>44</v>
      </c>
      <c r="B7" s="9">
        <v>3.125E-2</v>
      </c>
      <c r="C7" s="2">
        <v>0.19798611111111111</v>
      </c>
      <c r="D7">
        <v>125</v>
      </c>
      <c r="E7" s="4">
        <v>0.624</v>
      </c>
      <c r="F7" s="3">
        <v>0.38</v>
      </c>
      <c r="G7" s="3">
        <v>0.06</v>
      </c>
      <c r="H7" s="3">
        <v>0.1</v>
      </c>
      <c r="I7">
        <v>27</v>
      </c>
      <c r="J7">
        <v>3</v>
      </c>
      <c r="K7" s="3">
        <v>0.9</v>
      </c>
    </row>
    <row r="8" spans="1:11">
      <c r="A8" t="s">
        <v>45</v>
      </c>
      <c r="B8" s="2">
        <v>3.125E-2</v>
      </c>
      <c r="C8" s="2">
        <v>0.19798611111111111</v>
      </c>
      <c r="D8">
        <v>138</v>
      </c>
      <c r="E8" s="4">
        <v>0.63400000000000001</v>
      </c>
      <c r="F8" s="3">
        <v>0.39</v>
      </c>
      <c r="G8" s="3">
        <v>0.05</v>
      </c>
      <c r="H8" s="3">
        <v>0.09</v>
      </c>
      <c r="I8">
        <v>29</v>
      </c>
      <c r="J8">
        <v>2</v>
      </c>
      <c r="K8" s="3">
        <v>0.89</v>
      </c>
    </row>
    <row r="9" spans="1:11">
      <c r="A9" t="s">
        <v>46</v>
      </c>
      <c r="B9" s="2">
        <v>3.125E-2</v>
      </c>
      <c r="C9" s="2">
        <v>0.19798611111111111</v>
      </c>
      <c r="D9">
        <v>142</v>
      </c>
      <c r="E9" s="4">
        <v>0.64400000000000002</v>
      </c>
      <c r="F9" s="3">
        <v>0.42</v>
      </c>
      <c r="G9" s="3">
        <v>0.04</v>
      </c>
      <c r="H9" s="3">
        <v>0.08</v>
      </c>
      <c r="I9">
        <v>31</v>
      </c>
      <c r="J9">
        <v>1</v>
      </c>
      <c r="K9" s="3">
        <v>0.92</v>
      </c>
    </row>
    <row r="10" spans="1:11">
      <c r="A10" t="s">
        <v>47</v>
      </c>
      <c r="B10" s="2">
        <v>3.125E-2</v>
      </c>
      <c r="C10" s="2">
        <v>0.19798611111111111</v>
      </c>
      <c r="D10">
        <v>150</v>
      </c>
      <c r="E10" s="4">
        <v>0.65400000000000003</v>
      </c>
      <c r="F10" s="3">
        <v>0.4</v>
      </c>
      <c r="G10" s="3">
        <v>0.05</v>
      </c>
      <c r="H10" s="3">
        <v>0.1</v>
      </c>
      <c r="I10">
        <v>30</v>
      </c>
      <c r="J10">
        <v>2</v>
      </c>
      <c r="K10" s="3">
        <v>0.9</v>
      </c>
    </row>
    <row r="11" spans="1:11">
      <c r="A11" t="s">
        <v>48</v>
      </c>
      <c r="B11" s="2">
        <v>3.125E-2</v>
      </c>
      <c r="C11" s="2">
        <v>0.19798611111111111</v>
      </c>
      <c r="D11">
        <v>160</v>
      </c>
      <c r="E11" s="4">
        <v>0.66400000000000003</v>
      </c>
      <c r="F11" s="3">
        <v>0.45</v>
      </c>
      <c r="G11" s="3">
        <v>0.06</v>
      </c>
      <c r="H11" s="3">
        <v>7.0000000000000007E-2</v>
      </c>
      <c r="I11">
        <v>33</v>
      </c>
      <c r="J11">
        <v>3</v>
      </c>
      <c r="K11" s="3">
        <v>0.91</v>
      </c>
    </row>
    <row r="12" spans="1:11">
      <c r="A12" t="s">
        <v>49</v>
      </c>
      <c r="B12" s="2">
        <v>3.125E-2</v>
      </c>
      <c r="C12" s="2">
        <v>0.19798611111111111</v>
      </c>
      <c r="D12">
        <v>140</v>
      </c>
      <c r="E12" s="4">
        <v>0.67400000000000004</v>
      </c>
      <c r="F12" s="3">
        <v>0.38</v>
      </c>
      <c r="G12" s="3">
        <v>0.05</v>
      </c>
      <c r="H12" s="3">
        <v>0.09</v>
      </c>
      <c r="I12">
        <v>28</v>
      </c>
      <c r="J12">
        <v>2</v>
      </c>
      <c r="K12" s="3">
        <v>0.89</v>
      </c>
    </row>
    <row r="13" spans="1:11">
      <c r="A13" t="s">
        <v>50</v>
      </c>
      <c r="B13" s="2">
        <v>3.125E-2</v>
      </c>
      <c r="C13" s="2">
        <v>0.19798611111111111</v>
      </c>
      <c r="D13">
        <v>135</v>
      </c>
      <c r="E13" s="4">
        <v>0.68400000000000005</v>
      </c>
      <c r="F13" s="3">
        <v>0.39</v>
      </c>
      <c r="G13" s="3">
        <v>0.04</v>
      </c>
      <c r="H13" s="3">
        <v>0.08</v>
      </c>
      <c r="I13">
        <v>27</v>
      </c>
      <c r="J13">
        <v>1</v>
      </c>
      <c r="K13" s="3">
        <v>0.9</v>
      </c>
    </row>
    <row r="14" spans="1:11">
      <c r="A14" t="s">
        <v>51</v>
      </c>
      <c r="B14" s="2">
        <v>3.125E-2</v>
      </c>
      <c r="C14" s="2">
        <v>0.19798611111111111</v>
      </c>
      <c r="D14">
        <v>145</v>
      </c>
      <c r="E14" s="4">
        <v>0.69399999999999995</v>
      </c>
      <c r="F14" s="3">
        <v>0.4</v>
      </c>
      <c r="G14" s="3">
        <v>0.05</v>
      </c>
      <c r="H14" s="3">
        <v>0.1</v>
      </c>
      <c r="I14">
        <v>29</v>
      </c>
      <c r="J14">
        <v>2</v>
      </c>
      <c r="K14" s="3">
        <v>0.91</v>
      </c>
    </row>
    <row r="15" spans="1:11">
      <c r="A15" t="s">
        <v>52</v>
      </c>
      <c r="B15" s="2">
        <v>3.125E-2</v>
      </c>
      <c r="C15" s="2">
        <v>0.19798611111111111</v>
      </c>
      <c r="D15">
        <v>150</v>
      </c>
      <c r="E15" s="4">
        <v>0.70399999999999996</v>
      </c>
      <c r="F15" s="3">
        <v>0.42</v>
      </c>
      <c r="G15" s="3">
        <v>0.06</v>
      </c>
      <c r="H15" s="3">
        <v>7.0000000000000007E-2</v>
      </c>
      <c r="I15">
        <v>32</v>
      </c>
      <c r="J15">
        <v>3</v>
      </c>
      <c r="K15" s="3">
        <v>0.92</v>
      </c>
    </row>
    <row r="16" spans="1:11">
      <c r="A16" t="s">
        <v>53</v>
      </c>
      <c r="B16" s="2">
        <v>3.125E-2</v>
      </c>
      <c r="C16" s="2">
        <v>0.19798611111111111</v>
      </c>
      <c r="D16">
        <v>138</v>
      </c>
      <c r="E16" s="4">
        <v>0.71399999999999997</v>
      </c>
      <c r="F16" s="3">
        <v>0.38</v>
      </c>
      <c r="G16" s="3">
        <v>0.05</v>
      </c>
      <c r="H16" s="3">
        <v>0.09</v>
      </c>
      <c r="I16">
        <v>28</v>
      </c>
      <c r="J16">
        <v>2</v>
      </c>
      <c r="K16" s="3">
        <v>0.89</v>
      </c>
    </row>
    <row r="17" spans="1:11">
      <c r="A17" t="s">
        <v>54</v>
      </c>
      <c r="B17" s="2">
        <v>3.125E-2</v>
      </c>
      <c r="C17" s="2">
        <v>0.19798611111111111</v>
      </c>
      <c r="D17">
        <v>140</v>
      </c>
      <c r="E17" s="4">
        <v>0.72399999999999998</v>
      </c>
      <c r="F17" s="3">
        <v>0.4</v>
      </c>
      <c r="G17" s="3">
        <v>0.04</v>
      </c>
      <c r="H17" s="3">
        <v>0.08</v>
      </c>
      <c r="I17">
        <v>30</v>
      </c>
      <c r="J17">
        <v>1</v>
      </c>
      <c r="K17" s="3">
        <v>0.9</v>
      </c>
    </row>
    <row r="18" spans="1:11">
      <c r="A18" t="s">
        <v>55</v>
      </c>
      <c r="B18" s="2">
        <v>3.125E-2</v>
      </c>
      <c r="C18" s="2">
        <v>0.19798611111111111</v>
      </c>
      <c r="D18">
        <v>145</v>
      </c>
      <c r="E18" s="4">
        <v>0.73399999999999999</v>
      </c>
      <c r="F18" s="3">
        <v>0.39</v>
      </c>
      <c r="G18" s="3">
        <v>0.05</v>
      </c>
      <c r="H18" s="3">
        <v>0.1</v>
      </c>
      <c r="I18">
        <v>29</v>
      </c>
      <c r="J18">
        <v>2</v>
      </c>
      <c r="K18" s="3">
        <v>0.91</v>
      </c>
    </row>
    <row r="19" spans="1:11">
      <c r="A19" t="s">
        <v>56</v>
      </c>
      <c r="B19" s="2">
        <v>3.125E-2</v>
      </c>
      <c r="C19" s="2">
        <v>0.19798611111111111</v>
      </c>
      <c r="D19">
        <v>160</v>
      </c>
      <c r="E19" s="4">
        <v>0.74399999999999999</v>
      </c>
      <c r="F19" s="3">
        <v>0.45</v>
      </c>
      <c r="G19" s="3">
        <v>0.06</v>
      </c>
      <c r="H19" s="3">
        <v>7.0000000000000007E-2</v>
      </c>
      <c r="I19">
        <v>33</v>
      </c>
      <c r="J19">
        <v>3</v>
      </c>
      <c r="K19" s="3">
        <v>0.92</v>
      </c>
    </row>
    <row r="20" spans="1:11">
      <c r="A20" t="s">
        <v>57</v>
      </c>
      <c r="B20" s="2">
        <v>3.125E-2</v>
      </c>
      <c r="C20" s="2">
        <v>0.19798611111111111</v>
      </c>
      <c r="D20">
        <v>138</v>
      </c>
      <c r="E20" s="4">
        <v>0.754</v>
      </c>
      <c r="F20" s="3">
        <v>0.38</v>
      </c>
      <c r="G20" s="3">
        <v>0.05</v>
      </c>
      <c r="H20" s="3">
        <v>0.09</v>
      </c>
      <c r="I20">
        <v>28</v>
      </c>
      <c r="J20">
        <v>2</v>
      </c>
      <c r="K20" s="3">
        <v>0.89</v>
      </c>
    </row>
    <row r="21" spans="1:11">
      <c r="A21" t="s">
        <v>58</v>
      </c>
      <c r="B21" s="2">
        <v>3.125E-2</v>
      </c>
      <c r="C21" s="2">
        <v>0.19798611111111111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090F-549B-45B3-842E-D1D0F89ED97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9F6E-5A70-4AA7-8F4C-5919E01D9670}">
  <dimension ref="A1:P21"/>
  <sheetViews>
    <sheetView workbookViewId="0">
      <selection activeCell="F1" sqref="F1"/>
    </sheetView>
  </sheetViews>
  <sheetFormatPr defaultRowHeight="15"/>
  <cols>
    <col min="1" max="1" width="24.42578125" customWidth="1"/>
    <col min="2" max="2" width="22.5703125" bestFit="1" customWidth="1"/>
    <col min="3" max="3" width="17.5703125" bestFit="1" customWidth="1"/>
    <col min="4" max="4" width="16.28515625" bestFit="1" customWidth="1"/>
    <col min="5" max="5" width="24" bestFit="1" customWidth="1"/>
    <col min="6" max="6" width="16.28515625" bestFit="1" customWidth="1"/>
    <col min="8" max="8" width="16" bestFit="1" customWidth="1"/>
    <col min="9" max="9" width="13.7109375" bestFit="1" customWidth="1"/>
    <col min="10" max="10" width="20.42578125" bestFit="1" customWidth="1"/>
    <col min="11" max="11" width="13.28515625" bestFit="1" customWidth="1"/>
    <col min="12" max="12" width="15" bestFit="1" customWidth="1"/>
    <col min="13" max="13" width="10.5703125" bestFit="1" customWidth="1"/>
    <col min="14" max="14" width="18.28515625" bestFit="1" customWidth="1"/>
    <col min="15" max="15" width="17.5703125" bestFit="1" customWidth="1"/>
  </cols>
  <sheetData>
    <row r="1" spans="1:16">
      <c r="A1" s="1" t="s">
        <v>0</v>
      </c>
      <c r="B1" s="1" t="s">
        <v>29</v>
      </c>
      <c r="C1" s="1" t="s">
        <v>30</v>
      </c>
      <c r="D1" s="1" t="s">
        <v>31</v>
      </c>
      <c r="E1" s="1" t="s">
        <v>59</v>
      </c>
      <c r="F1" s="1" t="s">
        <v>60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39</v>
      </c>
      <c r="B2" s="2">
        <v>7.2916666666666671E-2</v>
      </c>
      <c r="C2" s="2">
        <v>0.19798611111111111</v>
      </c>
      <c r="D2">
        <v>120</v>
      </c>
      <c r="E2" s="4">
        <v>0.57399999999999995</v>
      </c>
      <c r="F2" s="3">
        <v>0.38</v>
      </c>
      <c r="G2" s="3">
        <v>0.05</v>
      </c>
      <c r="H2" s="3">
        <v>0.1</v>
      </c>
      <c r="I2">
        <v>25</v>
      </c>
      <c r="J2">
        <v>2</v>
      </c>
      <c r="K2" s="3">
        <v>0.9</v>
      </c>
      <c r="L2" s="4">
        <v>0.17399999999999999</v>
      </c>
      <c r="M2" s="5">
        <v>0.52083333333333337</v>
      </c>
      <c r="N2">
        <v>5</v>
      </c>
      <c r="O2">
        <v>3</v>
      </c>
      <c r="P2">
        <v>8</v>
      </c>
    </row>
    <row r="3" spans="1:16">
      <c r="A3" t="s">
        <v>40</v>
      </c>
      <c r="B3" s="2">
        <v>7.3611111111111113E-2</v>
      </c>
      <c r="C3" s="2">
        <v>0.19868055555555555</v>
      </c>
      <c r="D3">
        <v>135</v>
      </c>
      <c r="E3" s="4">
        <v>0.58399999999999996</v>
      </c>
      <c r="F3" s="3">
        <v>0.42</v>
      </c>
      <c r="G3" s="3">
        <v>0.04</v>
      </c>
      <c r="H3" s="3">
        <v>0.08</v>
      </c>
      <c r="I3">
        <v>28</v>
      </c>
      <c r="J3">
        <v>1</v>
      </c>
      <c r="K3" s="3">
        <v>0.92</v>
      </c>
      <c r="L3" s="4">
        <v>0.17419999999999999</v>
      </c>
      <c r="M3" s="5">
        <v>0.59027777777777779</v>
      </c>
      <c r="N3">
        <v>4</v>
      </c>
      <c r="O3">
        <v>2</v>
      </c>
      <c r="P3">
        <v>6</v>
      </c>
    </row>
    <row r="4" spans="1:16">
      <c r="A4" t="s">
        <v>41</v>
      </c>
      <c r="B4" s="2">
        <v>7.4305555555555597E-2</v>
      </c>
      <c r="C4" s="2">
        <v>0.199375</v>
      </c>
      <c r="D4">
        <v>140</v>
      </c>
      <c r="E4" s="4">
        <v>0.59399999999999997</v>
      </c>
      <c r="F4" s="3">
        <v>0.4</v>
      </c>
      <c r="G4" s="3">
        <v>0.06</v>
      </c>
      <c r="H4" s="3">
        <v>0.09</v>
      </c>
      <c r="I4">
        <v>30</v>
      </c>
      <c r="J4">
        <v>2</v>
      </c>
      <c r="K4" s="3">
        <v>0.91</v>
      </c>
      <c r="L4" s="4">
        <v>0.17380000000000001</v>
      </c>
      <c r="M4" s="5">
        <v>0.48958333333333331</v>
      </c>
      <c r="N4">
        <v>6</v>
      </c>
      <c r="O4">
        <v>3</v>
      </c>
      <c r="P4">
        <v>7</v>
      </c>
    </row>
    <row r="5" spans="1:16">
      <c r="A5" t="s">
        <v>42</v>
      </c>
      <c r="B5" s="2">
        <v>7.4999999999999997E-2</v>
      </c>
      <c r="C5" s="2">
        <v>0.20006944444444399</v>
      </c>
      <c r="D5">
        <v>150</v>
      </c>
      <c r="E5" s="4">
        <v>0.60399999999999998</v>
      </c>
      <c r="F5" s="3">
        <v>0.45</v>
      </c>
      <c r="G5" s="3">
        <v>0.05</v>
      </c>
      <c r="H5" s="3">
        <v>7.0000000000000007E-2</v>
      </c>
      <c r="I5">
        <v>32</v>
      </c>
      <c r="J5">
        <v>3</v>
      </c>
      <c r="K5" s="3">
        <v>0.93</v>
      </c>
      <c r="L5" s="4">
        <v>0.1741</v>
      </c>
      <c r="M5" s="5">
        <v>0.55555555555555558</v>
      </c>
      <c r="N5">
        <v>5</v>
      </c>
      <c r="O5">
        <v>4</v>
      </c>
      <c r="P5">
        <v>9</v>
      </c>
    </row>
    <row r="6" spans="1:16">
      <c r="A6" t="s">
        <v>43</v>
      </c>
      <c r="B6" s="2">
        <v>7.5694444444444398E-2</v>
      </c>
      <c r="C6" s="2">
        <v>0.20076388888888899</v>
      </c>
      <c r="D6">
        <v>110</v>
      </c>
      <c r="E6" s="4">
        <v>0.61399999999999999</v>
      </c>
      <c r="F6" s="3">
        <v>0.35</v>
      </c>
      <c r="G6" s="3">
        <v>7.0000000000000007E-2</v>
      </c>
      <c r="H6" s="3">
        <v>0.12</v>
      </c>
      <c r="I6">
        <v>20</v>
      </c>
      <c r="J6">
        <v>2</v>
      </c>
      <c r="K6" s="3">
        <v>0.88</v>
      </c>
      <c r="L6" s="4">
        <v>0.1739</v>
      </c>
      <c r="M6" s="5">
        <v>0.53472222222222221</v>
      </c>
      <c r="N6">
        <v>4</v>
      </c>
      <c r="O6">
        <v>2</v>
      </c>
      <c r="P6">
        <v>8</v>
      </c>
    </row>
    <row r="7" spans="1:16">
      <c r="A7" t="s">
        <v>44</v>
      </c>
      <c r="B7" s="2">
        <v>7.6388888888888895E-2</v>
      </c>
      <c r="C7" s="2">
        <v>0.20145833333333299</v>
      </c>
      <c r="D7">
        <v>125</v>
      </c>
      <c r="E7" s="4">
        <v>0.624</v>
      </c>
      <c r="F7" s="3">
        <v>0.38</v>
      </c>
      <c r="G7" s="3">
        <v>0.06</v>
      </c>
      <c r="H7" s="3">
        <v>0.1</v>
      </c>
      <c r="I7">
        <v>27</v>
      </c>
      <c r="J7">
        <v>3</v>
      </c>
      <c r="K7" s="3">
        <v>0.9</v>
      </c>
      <c r="L7" s="4">
        <v>0.17430000000000001</v>
      </c>
      <c r="M7" s="5">
        <v>0.54861111111111116</v>
      </c>
      <c r="N7">
        <v>5</v>
      </c>
      <c r="O7">
        <v>3</v>
      </c>
      <c r="P7">
        <v>7</v>
      </c>
    </row>
    <row r="8" spans="1:16">
      <c r="A8" t="s">
        <v>45</v>
      </c>
      <c r="B8" s="2">
        <v>7.7083333333333295E-2</v>
      </c>
      <c r="C8" s="2">
        <v>0.20215277777777799</v>
      </c>
      <c r="D8">
        <v>138</v>
      </c>
      <c r="E8" s="4">
        <v>0.63400000000000001</v>
      </c>
      <c r="F8" s="3">
        <v>0.39</v>
      </c>
      <c r="G8" s="3">
        <v>0.05</v>
      </c>
      <c r="H8" s="3">
        <v>0.09</v>
      </c>
      <c r="I8">
        <v>29</v>
      </c>
      <c r="J8">
        <v>2</v>
      </c>
      <c r="K8" s="3">
        <v>0.89</v>
      </c>
      <c r="L8" s="4">
        <v>0.1744</v>
      </c>
      <c r="M8" s="5">
        <v>0.52777777777777779</v>
      </c>
      <c r="N8">
        <v>6</v>
      </c>
      <c r="O8">
        <v>2</v>
      </c>
      <c r="P8">
        <v>6</v>
      </c>
    </row>
    <row r="9" spans="1:16">
      <c r="A9" t="s">
        <v>46</v>
      </c>
      <c r="B9" s="2">
        <v>7.7777777777777807E-2</v>
      </c>
      <c r="C9" s="2">
        <v>0.20284722222222201</v>
      </c>
      <c r="D9">
        <v>142</v>
      </c>
      <c r="E9" s="4">
        <v>0.64400000000000002</v>
      </c>
      <c r="F9" s="3">
        <v>0.42</v>
      </c>
      <c r="G9" s="3">
        <v>0.04</v>
      </c>
      <c r="H9" s="3">
        <v>0.08</v>
      </c>
      <c r="I9">
        <v>31</v>
      </c>
      <c r="J9">
        <v>1</v>
      </c>
      <c r="K9" s="3">
        <v>0.92</v>
      </c>
      <c r="L9" s="4">
        <v>0.17369999999999999</v>
      </c>
      <c r="M9" s="5">
        <v>0.49652777777777779</v>
      </c>
      <c r="N9">
        <v>5</v>
      </c>
      <c r="O9">
        <v>3</v>
      </c>
      <c r="P9">
        <v>8</v>
      </c>
    </row>
    <row r="10" spans="1:16">
      <c r="A10" t="s">
        <v>47</v>
      </c>
      <c r="B10" s="2">
        <v>7.8472222222222193E-2</v>
      </c>
      <c r="C10" s="2">
        <v>0.20354166666666701</v>
      </c>
      <c r="D10">
        <v>150</v>
      </c>
      <c r="E10" s="4">
        <v>0.65400000000000003</v>
      </c>
      <c r="F10" s="3">
        <v>0.4</v>
      </c>
      <c r="G10" s="3">
        <v>0.05</v>
      </c>
      <c r="H10" s="3">
        <v>0.1</v>
      </c>
      <c r="I10">
        <v>30</v>
      </c>
      <c r="J10">
        <v>2</v>
      </c>
      <c r="K10" s="3">
        <v>0.9</v>
      </c>
      <c r="L10" s="4">
        <v>0.1736</v>
      </c>
      <c r="M10" s="5">
        <v>0.5625</v>
      </c>
      <c r="N10">
        <v>4</v>
      </c>
      <c r="O10">
        <v>4</v>
      </c>
      <c r="P10">
        <v>9</v>
      </c>
    </row>
    <row r="11" spans="1:16">
      <c r="A11" t="s">
        <v>48</v>
      </c>
      <c r="B11" s="2">
        <v>7.9166666666666594E-2</v>
      </c>
      <c r="C11" s="2">
        <v>0.20423611111111101</v>
      </c>
      <c r="D11">
        <v>160</v>
      </c>
      <c r="E11" s="4">
        <v>0.66400000000000003</v>
      </c>
      <c r="F11" s="3">
        <v>0.45</v>
      </c>
      <c r="G11" s="3">
        <v>0.06</v>
      </c>
      <c r="H11" s="3">
        <v>7.0000000000000007E-2</v>
      </c>
      <c r="I11">
        <v>33</v>
      </c>
      <c r="J11">
        <v>3</v>
      </c>
      <c r="K11" s="3">
        <v>0.91</v>
      </c>
      <c r="L11" s="4">
        <v>0.17449999999999999</v>
      </c>
      <c r="M11" s="5">
        <v>0.58333333333333337</v>
      </c>
      <c r="N11">
        <v>5</v>
      </c>
      <c r="O11">
        <v>2</v>
      </c>
      <c r="P11">
        <v>7</v>
      </c>
    </row>
    <row r="12" spans="1:16">
      <c r="A12" t="s">
        <v>49</v>
      </c>
      <c r="B12" s="2">
        <v>7.9861111111111105E-2</v>
      </c>
      <c r="C12" s="2">
        <v>0.204930555555556</v>
      </c>
      <c r="D12">
        <v>140</v>
      </c>
      <c r="E12" s="4">
        <v>0.67400000000000004</v>
      </c>
      <c r="F12" s="3">
        <v>0.38</v>
      </c>
      <c r="G12" s="3">
        <v>0.05</v>
      </c>
      <c r="H12" s="3">
        <v>0.09</v>
      </c>
      <c r="I12">
        <v>28</v>
      </c>
      <c r="J12">
        <v>2</v>
      </c>
      <c r="K12" s="3">
        <v>0.89</v>
      </c>
      <c r="L12" s="4">
        <v>0.17399999999999999</v>
      </c>
      <c r="M12" s="5">
        <v>0.51388888888888884</v>
      </c>
      <c r="N12">
        <v>6</v>
      </c>
      <c r="O12">
        <v>3</v>
      </c>
      <c r="P12">
        <v>8</v>
      </c>
    </row>
    <row r="13" spans="1:16">
      <c r="A13" t="s">
        <v>50</v>
      </c>
      <c r="B13" s="2">
        <v>8.0555555555555505E-2</v>
      </c>
      <c r="C13" s="2">
        <v>0.205625</v>
      </c>
      <c r="D13">
        <v>135</v>
      </c>
      <c r="E13" s="4">
        <v>0.68400000000000005</v>
      </c>
      <c r="F13" s="3">
        <v>0.39</v>
      </c>
      <c r="G13" s="3">
        <v>0.04</v>
      </c>
      <c r="H13" s="3">
        <v>0.08</v>
      </c>
      <c r="I13">
        <v>27</v>
      </c>
      <c r="J13">
        <v>1</v>
      </c>
      <c r="K13" s="3">
        <v>0.9</v>
      </c>
      <c r="L13" s="4">
        <v>0.1741</v>
      </c>
      <c r="M13" s="5">
        <v>0.55208333333333337</v>
      </c>
      <c r="N13">
        <v>5</v>
      </c>
      <c r="O13">
        <v>2</v>
      </c>
      <c r="P13">
        <v>6</v>
      </c>
    </row>
    <row r="14" spans="1:16">
      <c r="A14" t="s">
        <v>51</v>
      </c>
      <c r="B14" s="2">
        <v>8.1250000000000003E-2</v>
      </c>
      <c r="C14" s="2">
        <v>0.206319444444444</v>
      </c>
      <c r="D14">
        <v>145</v>
      </c>
      <c r="E14" s="4">
        <v>0.69399999999999995</v>
      </c>
      <c r="F14" s="3">
        <v>0.4</v>
      </c>
      <c r="G14" s="3">
        <v>0.05</v>
      </c>
      <c r="H14" s="3">
        <v>0.1</v>
      </c>
      <c r="I14">
        <v>29</v>
      </c>
      <c r="J14">
        <v>2</v>
      </c>
      <c r="K14" s="3">
        <v>0.91</v>
      </c>
      <c r="L14" s="4">
        <v>0.1739</v>
      </c>
      <c r="M14" s="5">
        <v>0.53472222222222221</v>
      </c>
      <c r="N14">
        <v>4</v>
      </c>
      <c r="O14">
        <v>3</v>
      </c>
      <c r="P14">
        <v>7</v>
      </c>
    </row>
    <row r="15" spans="1:16">
      <c r="A15" t="s">
        <v>52</v>
      </c>
      <c r="B15" s="2">
        <v>8.1944444444444403E-2</v>
      </c>
      <c r="C15" s="2">
        <v>0.207013888888889</v>
      </c>
      <c r="D15">
        <v>150</v>
      </c>
      <c r="E15" s="4">
        <v>0.70399999999999996</v>
      </c>
      <c r="F15" s="3">
        <v>0.42</v>
      </c>
      <c r="G15" s="3">
        <v>0.06</v>
      </c>
      <c r="H15" s="3">
        <v>7.0000000000000007E-2</v>
      </c>
      <c r="I15">
        <v>32</v>
      </c>
      <c r="J15">
        <v>3</v>
      </c>
      <c r="K15" s="3">
        <v>0.92</v>
      </c>
      <c r="L15" s="4">
        <v>0.17419999999999999</v>
      </c>
      <c r="M15" s="5">
        <v>0.56944444444444442</v>
      </c>
      <c r="N15">
        <v>5</v>
      </c>
      <c r="O15">
        <v>4</v>
      </c>
      <c r="P15">
        <v>8</v>
      </c>
    </row>
    <row r="16" spans="1:16">
      <c r="A16" t="s">
        <v>53</v>
      </c>
      <c r="B16" s="2">
        <v>8.2638888888888901E-2</v>
      </c>
      <c r="C16" s="2">
        <v>0.207708333333333</v>
      </c>
      <c r="D16">
        <v>138</v>
      </c>
      <c r="E16" s="4">
        <v>0.71399999999999997</v>
      </c>
      <c r="F16" s="3">
        <v>0.38</v>
      </c>
      <c r="G16" s="3">
        <v>0.05</v>
      </c>
      <c r="H16" s="3">
        <v>0.09</v>
      </c>
      <c r="I16">
        <v>28</v>
      </c>
      <c r="J16">
        <v>2</v>
      </c>
      <c r="K16" s="3">
        <v>0.89</v>
      </c>
      <c r="L16" s="4">
        <v>0.17380000000000001</v>
      </c>
      <c r="M16" s="5">
        <v>0.50694444444444442</v>
      </c>
      <c r="N16">
        <v>6</v>
      </c>
      <c r="O16">
        <v>3</v>
      </c>
      <c r="P16">
        <v>9</v>
      </c>
    </row>
    <row r="17" spans="1:16">
      <c r="A17" t="s">
        <v>54</v>
      </c>
      <c r="B17" s="2">
        <v>8.3333333333333301E-2</v>
      </c>
      <c r="C17" s="2">
        <v>0.20840277777777799</v>
      </c>
      <c r="D17">
        <v>140</v>
      </c>
      <c r="E17" s="4">
        <v>0.72399999999999998</v>
      </c>
      <c r="F17" s="3">
        <v>0.4</v>
      </c>
      <c r="G17" s="3">
        <v>0.04</v>
      </c>
      <c r="H17" s="3">
        <v>0.08</v>
      </c>
      <c r="I17">
        <v>30</v>
      </c>
      <c r="J17">
        <v>1</v>
      </c>
      <c r="K17" s="3">
        <v>0.9</v>
      </c>
      <c r="L17" s="4">
        <v>0.1744</v>
      </c>
      <c r="M17" s="5">
        <v>0.58680555555555558</v>
      </c>
      <c r="N17">
        <v>4</v>
      </c>
      <c r="O17">
        <v>2</v>
      </c>
      <c r="P17">
        <v>6</v>
      </c>
    </row>
    <row r="18" spans="1:16">
      <c r="A18" t="s">
        <v>55</v>
      </c>
      <c r="B18" s="2">
        <v>8.4027777777777798E-2</v>
      </c>
      <c r="C18" s="2">
        <v>0.20909722222222199</v>
      </c>
      <c r="D18">
        <v>145</v>
      </c>
      <c r="E18" s="4">
        <v>0.73399999999999999</v>
      </c>
      <c r="F18" s="3">
        <v>0.39</v>
      </c>
      <c r="G18" s="3">
        <v>0.05</v>
      </c>
      <c r="H18" s="3">
        <v>0.1</v>
      </c>
      <c r="I18">
        <v>29</v>
      </c>
      <c r="J18">
        <v>2</v>
      </c>
      <c r="K18" s="3">
        <v>0.91</v>
      </c>
      <c r="L18" s="4">
        <v>0.17430000000000001</v>
      </c>
      <c r="M18" s="5">
        <v>0.52083333333333337</v>
      </c>
      <c r="N18">
        <v>5</v>
      </c>
      <c r="O18">
        <v>3</v>
      </c>
      <c r="P18">
        <v>7</v>
      </c>
    </row>
    <row r="19" spans="1:16">
      <c r="A19" t="s">
        <v>56</v>
      </c>
      <c r="B19" s="2">
        <v>8.4722222222222199E-2</v>
      </c>
      <c r="C19" s="2">
        <v>0.20979166666666699</v>
      </c>
      <c r="D19">
        <v>160</v>
      </c>
      <c r="E19" s="4">
        <v>0.74399999999999999</v>
      </c>
      <c r="F19" s="3">
        <v>0.45</v>
      </c>
      <c r="G19" s="3">
        <v>0.06</v>
      </c>
      <c r="H19" s="3">
        <v>7.0000000000000007E-2</v>
      </c>
      <c r="I19">
        <v>33</v>
      </c>
      <c r="J19">
        <v>3</v>
      </c>
      <c r="K19" s="3">
        <v>0.92</v>
      </c>
      <c r="L19" s="4">
        <v>0.17369999999999999</v>
      </c>
      <c r="M19" s="5">
        <v>0.55902777777777779</v>
      </c>
      <c r="N19">
        <v>6</v>
      </c>
      <c r="O19">
        <v>2</v>
      </c>
      <c r="P19">
        <v>8</v>
      </c>
    </row>
    <row r="20" spans="1:16">
      <c r="A20" t="s">
        <v>57</v>
      </c>
      <c r="B20" s="2">
        <v>8.5416666666666696E-2</v>
      </c>
      <c r="C20" s="2">
        <v>0.21048611111111101</v>
      </c>
      <c r="D20">
        <v>138</v>
      </c>
      <c r="E20" s="4">
        <v>0.754</v>
      </c>
      <c r="F20" s="3">
        <v>0.38</v>
      </c>
      <c r="G20" s="3">
        <v>0.05</v>
      </c>
      <c r="H20" s="3">
        <v>0.09</v>
      </c>
      <c r="I20">
        <v>28</v>
      </c>
      <c r="J20">
        <v>2</v>
      </c>
      <c r="K20" s="3">
        <v>0.89</v>
      </c>
      <c r="L20" s="4">
        <v>0.1736</v>
      </c>
      <c r="M20" s="5">
        <v>0.52777777777777779</v>
      </c>
      <c r="N20">
        <v>5</v>
      </c>
      <c r="O20">
        <v>3</v>
      </c>
      <c r="P20">
        <v>9</v>
      </c>
    </row>
    <row r="21" spans="1:16">
      <c r="A21" t="s">
        <v>58</v>
      </c>
      <c r="B21" s="2">
        <v>8.6111111111111097E-2</v>
      </c>
      <c r="C21" s="2">
        <v>0.21118055555555601</v>
      </c>
      <c r="L21" s="4">
        <v>0.17449999999999999</v>
      </c>
      <c r="M21" s="5">
        <v>0.57986111111111116</v>
      </c>
      <c r="N21">
        <v>4</v>
      </c>
      <c r="O21">
        <v>4</v>
      </c>
      <c r="P2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D58D-1D28-4B89-BEAF-FDD11FCE5875}">
  <dimension ref="A1:J26"/>
  <sheetViews>
    <sheetView workbookViewId="0">
      <selection activeCell="H1" sqref="H1"/>
    </sheetView>
  </sheetViews>
  <sheetFormatPr defaultRowHeight="15"/>
  <cols>
    <col min="1" max="1" width="22" customWidth="1"/>
    <col min="2" max="2" width="18.7109375" customWidth="1"/>
    <col min="3" max="3" width="19.85546875" bestFit="1" customWidth="1"/>
    <col min="4" max="4" width="19.5703125" bestFit="1" customWidth="1"/>
    <col min="5" max="5" width="17.140625" bestFit="1" customWidth="1"/>
    <col min="6" max="6" width="12" bestFit="1" customWidth="1"/>
    <col min="7" max="7" width="12.85546875" bestFit="1" customWidth="1"/>
    <col min="8" max="8" width="27.85546875" bestFit="1" customWidth="1"/>
    <col min="9" max="9" width="25.42578125" bestFit="1" customWidth="1"/>
    <col min="10" max="10" width="21.140625" bestFit="1" customWidth="1"/>
  </cols>
  <sheetData>
    <row r="1" spans="1:10">
      <c r="A1" s="1" t="s">
        <v>0</v>
      </c>
      <c r="B1" s="1" t="s">
        <v>31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</row>
    <row r="2" spans="1:10">
      <c r="A2" t="s">
        <v>39</v>
      </c>
      <c r="B2">
        <v>120</v>
      </c>
      <c r="C2" s="4">
        <v>5.5999999999999999E-3</v>
      </c>
      <c r="D2" s="4">
        <v>4.4999999999999997E-3</v>
      </c>
      <c r="E2" s="4">
        <v>1.46E-2</v>
      </c>
      <c r="F2" s="4">
        <v>0.1434</v>
      </c>
      <c r="G2" s="4">
        <v>0</v>
      </c>
      <c r="H2" s="2">
        <v>0.39583333333333331</v>
      </c>
      <c r="I2" s="2">
        <v>0.23958333333333334</v>
      </c>
      <c r="J2" s="6">
        <v>0.50624999999999998</v>
      </c>
    </row>
    <row r="3" spans="1:10">
      <c r="A3" t="s">
        <v>40</v>
      </c>
      <c r="B3">
        <v>135</v>
      </c>
      <c r="C3" s="4">
        <v>5.7000000000000002E-3</v>
      </c>
      <c r="D3" s="4">
        <v>4.5999999999999999E-3</v>
      </c>
      <c r="E3" s="4">
        <v>1.47E-2</v>
      </c>
      <c r="F3" s="4">
        <v>0.14349999999999999</v>
      </c>
      <c r="G3" s="4">
        <v>0</v>
      </c>
      <c r="H3" s="2">
        <v>0.43819444444444444</v>
      </c>
      <c r="I3" s="2">
        <v>0.28194444444444444</v>
      </c>
      <c r="J3" s="6">
        <v>4.8611111111111112E-2</v>
      </c>
    </row>
    <row r="4" spans="1:10">
      <c r="A4" t="s">
        <v>41</v>
      </c>
      <c r="B4">
        <v>140</v>
      </c>
      <c r="C4" s="4">
        <v>5.4999999999999997E-3</v>
      </c>
      <c r="D4" s="4">
        <v>4.4000000000000003E-3</v>
      </c>
      <c r="E4" s="4">
        <v>1.4500000000000001E-2</v>
      </c>
      <c r="F4" s="4">
        <v>0.14330000000000001</v>
      </c>
      <c r="G4" s="4">
        <v>0</v>
      </c>
      <c r="H4" s="2">
        <v>0.48055555555555601</v>
      </c>
      <c r="I4" s="2">
        <v>0.32430555555555601</v>
      </c>
      <c r="J4" s="6">
        <v>0.59097222222222201</v>
      </c>
    </row>
    <row r="5" spans="1:10">
      <c r="A5" t="s">
        <v>42</v>
      </c>
      <c r="B5">
        <v>150</v>
      </c>
      <c r="C5" s="4">
        <v>5.5999999999999999E-3</v>
      </c>
      <c r="D5" s="4">
        <v>4.5999999999999999E-3</v>
      </c>
      <c r="E5" s="4">
        <v>1.46E-2</v>
      </c>
      <c r="F5" s="4">
        <v>0.14360000000000001</v>
      </c>
      <c r="G5" s="4">
        <v>0</v>
      </c>
      <c r="H5" s="2">
        <v>0.52291666666666603</v>
      </c>
      <c r="I5" s="2">
        <v>0.36666666666666597</v>
      </c>
      <c r="J5" s="6">
        <v>0.13333333333333</v>
      </c>
    </row>
    <row r="6" spans="1:10">
      <c r="A6" t="s">
        <v>43</v>
      </c>
      <c r="B6">
        <v>110</v>
      </c>
      <c r="C6" s="4">
        <v>5.4000000000000003E-3</v>
      </c>
      <c r="D6" s="4">
        <v>4.4000000000000003E-3</v>
      </c>
      <c r="E6" s="4">
        <v>1.44E-2</v>
      </c>
      <c r="F6" s="4">
        <v>0.14319999999999999</v>
      </c>
      <c r="G6" s="4">
        <v>0</v>
      </c>
      <c r="H6" s="2">
        <v>0.56527777777777799</v>
      </c>
      <c r="I6" s="2">
        <v>0.40902777777777699</v>
      </c>
      <c r="J6" s="6">
        <v>0.67569444444444005</v>
      </c>
    </row>
    <row r="7" spans="1:10">
      <c r="A7" t="s">
        <v>44</v>
      </c>
      <c r="B7">
        <v>125</v>
      </c>
      <c r="C7" s="4">
        <v>5.7999999999999996E-3</v>
      </c>
      <c r="D7" s="4">
        <v>4.4999999999999997E-3</v>
      </c>
      <c r="E7" s="4">
        <v>1.4800000000000001E-2</v>
      </c>
      <c r="F7" s="4">
        <v>0.14369999999999999</v>
      </c>
      <c r="G7" s="4">
        <v>0</v>
      </c>
      <c r="H7" s="2">
        <v>0.60763888888888895</v>
      </c>
      <c r="I7" s="2">
        <v>0.45138888888888801</v>
      </c>
      <c r="J7" s="6">
        <v>0.21805555555556</v>
      </c>
    </row>
    <row r="8" spans="1:10">
      <c r="A8" t="s">
        <v>45</v>
      </c>
      <c r="B8">
        <v>138</v>
      </c>
      <c r="C8" s="4">
        <v>5.5999999999999999E-3</v>
      </c>
      <c r="D8" s="4">
        <v>4.3E-3</v>
      </c>
      <c r="E8" s="4">
        <v>1.46E-2</v>
      </c>
      <c r="F8" s="4">
        <v>0.1434</v>
      </c>
      <c r="G8" s="4">
        <v>0</v>
      </c>
      <c r="H8" s="2">
        <v>0.65</v>
      </c>
      <c r="I8" s="2">
        <v>0.49375000000000002</v>
      </c>
      <c r="J8" s="6">
        <v>0.76041666666666996</v>
      </c>
    </row>
    <row r="9" spans="1:10">
      <c r="A9" t="s">
        <v>46</v>
      </c>
      <c r="B9">
        <v>142</v>
      </c>
      <c r="C9" s="4">
        <v>5.4999999999999997E-3</v>
      </c>
      <c r="D9" s="4">
        <v>4.4000000000000003E-3</v>
      </c>
      <c r="E9" s="4">
        <v>1.4500000000000001E-2</v>
      </c>
      <c r="F9" s="4">
        <v>0.14330000000000001</v>
      </c>
      <c r="G9" s="4">
        <v>0</v>
      </c>
      <c r="H9" s="2">
        <v>0.69236111111111098</v>
      </c>
      <c r="I9" s="2">
        <v>0.53611111111111098</v>
      </c>
      <c r="J9" s="6">
        <v>0.30277777777777998</v>
      </c>
    </row>
    <row r="10" spans="1:10">
      <c r="A10" t="s">
        <v>47</v>
      </c>
      <c r="B10">
        <v>150</v>
      </c>
      <c r="C10" s="4">
        <v>5.7000000000000002E-3</v>
      </c>
      <c r="D10" s="4">
        <v>4.5999999999999999E-3</v>
      </c>
      <c r="E10" s="4">
        <v>1.47E-2</v>
      </c>
      <c r="F10" s="4">
        <v>0.14349999999999999</v>
      </c>
      <c r="G10" s="4">
        <v>0</v>
      </c>
      <c r="H10" s="2">
        <v>0.73472222222222205</v>
      </c>
      <c r="I10" s="2">
        <v>0.57847222222222205</v>
      </c>
      <c r="J10" s="6">
        <v>0.84513888888888999</v>
      </c>
    </row>
    <row r="11" spans="1:10">
      <c r="A11" t="s">
        <v>48</v>
      </c>
      <c r="B11">
        <v>160</v>
      </c>
      <c r="C11" s="4">
        <v>5.5999999999999999E-3</v>
      </c>
      <c r="D11" s="4">
        <v>4.4999999999999997E-3</v>
      </c>
      <c r="E11" s="4">
        <v>1.46E-2</v>
      </c>
      <c r="F11" s="4">
        <v>0.1434</v>
      </c>
      <c r="G11" s="4">
        <v>0</v>
      </c>
      <c r="H11" s="2">
        <v>0.77708333333333302</v>
      </c>
      <c r="I11" s="2">
        <v>0.62083333333333302</v>
      </c>
      <c r="J11" s="6">
        <v>0.38750000000000001</v>
      </c>
    </row>
    <row r="12" spans="1:10">
      <c r="A12" t="s">
        <v>49</v>
      </c>
      <c r="B12">
        <v>140</v>
      </c>
      <c r="C12" s="4">
        <v>5.4000000000000003E-3</v>
      </c>
      <c r="D12" s="4">
        <v>4.4000000000000003E-3</v>
      </c>
      <c r="E12" s="4">
        <v>1.44E-2</v>
      </c>
      <c r="F12" s="4">
        <v>0.14319999999999999</v>
      </c>
      <c r="G12" s="4">
        <v>0</v>
      </c>
      <c r="H12" s="2">
        <v>0.81944444444444398</v>
      </c>
      <c r="I12" s="2">
        <v>0.66319444444444398</v>
      </c>
      <c r="J12" s="6">
        <v>0.92986111111110903</v>
      </c>
    </row>
    <row r="13" spans="1:10">
      <c r="A13" t="s">
        <v>50</v>
      </c>
      <c r="B13">
        <v>135</v>
      </c>
      <c r="C13" s="4">
        <v>5.7999999999999996E-3</v>
      </c>
      <c r="D13" s="4">
        <v>4.5999999999999999E-3</v>
      </c>
      <c r="E13" s="4">
        <v>1.4800000000000001E-2</v>
      </c>
      <c r="F13" s="4">
        <v>0.14360000000000001</v>
      </c>
      <c r="G13" s="4">
        <v>0</v>
      </c>
      <c r="H13" s="2">
        <v>0.86180555555555505</v>
      </c>
      <c r="I13" s="2">
        <v>0.70555555555555505</v>
      </c>
      <c r="J13" s="6">
        <v>0.47222222222221999</v>
      </c>
    </row>
    <row r="14" spans="1:10">
      <c r="A14" t="s">
        <v>51</v>
      </c>
      <c r="B14">
        <v>145</v>
      </c>
      <c r="C14" s="4">
        <v>5.5999999999999999E-3</v>
      </c>
      <c r="D14" s="4">
        <v>4.4999999999999997E-3</v>
      </c>
      <c r="E14" s="4">
        <v>1.46E-2</v>
      </c>
      <c r="F14" s="4">
        <v>0.1434</v>
      </c>
      <c r="G14" s="4">
        <v>0</v>
      </c>
      <c r="H14" s="2">
        <v>0.90416666666666701</v>
      </c>
      <c r="I14" s="2">
        <v>0.74791666666666601</v>
      </c>
      <c r="J14" s="6">
        <v>1.45833333333298E-2</v>
      </c>
    </row>
    <row r="15" spans="1:10">
      <c r="A15" t="s">
        <v>52</v>
      </c>
      <c r="B15">
        <v>150</v>
      </c>
      <c r="C15" s="4">
        <v>5.4999999999999997E-3</v>
      </c>
      <c r="D15" s="4">
        <v>4.4000000000000003E-3</v>
      </c>
      <c r="E15" s="4">
        <v>1.4500000000000001E-2</v>
      </c>
      <c r="F15" s="4">
        <v>0.14330000000000001</v>
      </c>
      <c r="G15" s="4">
        <v>0</v>
      </c>
      <c r="H15" s="2">
        <v>0.94652777777777797</v>
      </c>
      <c r="I15" s="2">
        <v>0.79027777777777697</v>
      </c>
      <c r="J15" s="6">
        <v>0.55694444444444002</v>
      </c>
    </row>
    <row r="16" spans="1:10">
      <c r="A16" t="s">
        <v>53</v>
      </c>
      <c r="B16">
        <v>138</v>
      </c>
      <c r="C16" s="4">
        <v>5.7000000000000002E-3</v>
      </c>
      <c r="D16" s="4">
        <v>4.5999999999999999E-3</v>
      </c>
      <c r="E16" s="4">
        <v>1.47E-2</v>
      </c>
      <c r="F16" s="4">
        <v>0.14349999999999999</v>
      </c>
      <c r="G16" s="4">
        <v>0</v>
      </c>
      <c r="H16" s="2">
        <v>0.98888888888888904</v>
      </c>
      <c r="I16" s="2">
        <v>0.83263888888888804</v>
      </c>
      <c r="J16" s="6">
        <v>9.9305555555560004E-2</v>
      </c>
    </row>
    <row r="17" spans="1:10">
      <c r="A17" t="s">
        <v>54</v>
      </c>
      <c r="B17">
        <v>140</v>
      </c>
      <c r="C17" s="4">
        <v>5.5999999999999999E-3</v>
      </c>
      <c r="D17" s="4">
        <v>4.4999999999999997E-3</v>
      </c>
      <c r="E17" s="4">
        <v>1.46E-2</v>
      </c>
      <c r="F17" s="4">
        <v>0.1434</v>
      </c>
      <c r="G17" s="4">
        <v>0</v>
      </c>
      <c r="H17" s="2">
        <v>1.03125</v>
      </c>
      <c r="I17" s="2">
        <v>0.875</v>
      </c>
      <c r="J17" s="6">
        <v>0.64166666666666905</v>
      </c>
    </row>
    <row r="18" spans="1:10">
      <c r="A18" t="s">
        <v>55</v>
      </c>
      <c r="B18">
        <v>145</v>
      </c>
      <c r="C18" s="4">
        <v>5.4000000000000003E-3</v>
      </c>
      <c r="D18" s="4">
        <v>4.4000000000000003E-3</v>
      </c>
      <c r="E18" s="4">
        <v>1.44E-2</v>
      </c>
      <c r="F18" s="4">
        <v>0.14319999999999999</v>
      </c>
      <c r="G18" s="4">
        <v>0</v>
      </c>
      <c r="H18" s="2">
        <v>1.07361111111111</v>
      </c>
      <c r="I18" s="2">
        <v>0.91736111111111096</v>
      </c>
      <c r="J18" s="6">
        <v>0.18402777777777901</v>
      </c>
    </row>
    <row r="19" spans="1:10">
      <c r="A19" t="s">
        <v>56</v>
      </c>
      <c r="B19">
        <v>160</v>
      </c>
      <c r="C19" s="4">
        <v>5.7999999999999996E-3</v>
      </c>
      <c r="D19" s="4">
        <v>4.4999999999999997E-3</v>
      </c>
      <c r="E19" s="4">
        <v>1.4800000000000001E-2</v>
      </c>
      <c r="F19" s="4">
        <v>0.14369999999999999</v>
      </c>
      <c r="G19" s="4">
        <v>0</v>
      </c>
      <c r="H19" s="2">
        <v>1.1159722222222199</v>
      </c>
      <c r="I19" s="2">
        <v>0.95972222222222203</v>
      </c>
      <c r="J19" s="6">
        <v>0.72638888888888997</v>
      </c>
    </row>
    <row r="20" spans="1:10">
      <c r="A20" t="s">
        <v>57</v>
      </c>
      <c r="B20">
        <v>138</v>
      </c>
      <c r="C20" s="4">
        <v>5.5999999999999999E-3</v>
      </c>
      <c r="D20" s="4">
        <v>4.3E-3</v>
      </c>
      <c r="E20" s="4">
        <v>1.46E-2</v>
      </c>
      <c r="F20" s="4">
        <v>0.1434</v>
      </c>
      <c r="G20" s="4">
        <v>0</v>
      </c>
      <c r="H20" s="2">
        <v>1.1583333333333301</v>
      </c>
      <c r="I20" s="2">
        <v>1.0020833333333301</v>
      </c>
      <c r="J20" s="6">
        <v>0.26874999999999899</v>
      </c>
    </row>
    <row r="21" spans="1:10">
      <c r="A21" t="s">
        <v>58</v>
      </c>
      <c r="B21">
        <v>150</v>
      </c>
      <c r="C21" s="4">
        <v>5.4999999999999997E-3</v>
      </c>
      <c r="D21" s="4">
        <v>4.4000000000000003E-3</v>
      </c>
      <c r="E21" s="4">
        <v>1.4500000000000001E-2</v>
      </c>
      <c r="F21" s="4">
        <v>0.14330000000000001</v>
      </c>
      <c r="G21" s="4">
        <v>0</v>
      </c>
      <c r="H21" s="2">
        <v>1.2006944444444401</v>
      </c>
      <c r="I21" s="2">
        <v>1.0444444444444401</v>
      </c>
      <c r="J21" s="6">
        <v>0.81111111111111001</v>
      </c>
    </row>
    <row r="22" spans="1:10">
      <c r="J22" s="6"/>
    </row>
    <row r="23" spans="1:10">
      <c r="J23" s="6"/>
    </row>
    <row r="24" spans="1:10">
      <c r="J24" s="6"/>
    </row>
    <row r="25" spans="1:10">
      <c r="J25" s="6"/>
    </row>
    <row r="26" spans="1:10">
      <c r="J2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6B94-FA0C-4674-B1E5-4812C923F4DE}">
  <dimension ref="A1:G21"/>
  <sheetViews>
    <sheetView workbookViewId="0">
      <selection activeCell="G1" sqref="G1"/>
    </sheetView>
  </sheetViews>
  <sheetFormatPr defaultRowHeight="15"/>
  <cols>
    <col min="1" max="1" width="23.5703125" customWidth="1"/>
    <col min="2" max="2" width="36.5703125" bestFit="1" customWidth="1"/>
    <col min="3" max="5" width="36.5703125" customWidth="1"/>
    <col min="6" max="6" width="17.7109375" customWidth="1"/>
    <col min="7" max="7" width="22" customWidth="1"/>
  </cols>
  <sheetData>
    <row r="1" spans="1:7">
      <c r="A1" s="1" t="s">
        <v>0</v>
      </c>
      <c r="B1" t="s">
        <v>74</v>
      </c>
      <c r="C1" s="2" t="s">
        <v>75</v>
      </c>
      <c r="D1" s="2" t="s">
        <v>30</v>
      </c>
      <c r="E1" s="2" t="s">
        <v>8</v>
      </c>
      <c r="F1" s="1" t="s">
        <v>31</v>
      </c>
      <c r="G1" s="1" t="s">
        <v>60</v>
      </c>
    </row>
    <row r="2" spans="1:7">
      <c r="A2" t="str">
        <f>Break!A3</f>
        <v>Emma Johnson_002</v>
      </c>
      <c r="B2" t="s">
        <v>76</v>
      </c>
      <c r="C2" s="2">
        <v>0.60759259259259302</v>
      </c>
      <c r="D2" s="2">
        <v>0.52425925925925931</v>
      </c>
      <c r="E2" s="2">
        <v>0.98259259259259257</v>
      </c>
      <c r="F2">
        <v>135</v>
      </c>
      <c r="G2" s="3">
        <v>0.42</v>
      </c>
    </row>
    <row r="3" spans="1:7">
      <c r="A3" t="str">
        <f>Break!A4</f>
        <v>Liam Williams_003</v>
      </c>
      <c r="B3" t="s">
        <v>77</v>
      </c>
      <c r="C3" s="2">
        <v>0.64925925925925898</v>
      </c>
      <c r="D3" s="2">
        <v>5.2743055555555557E-2</v>
      </c>
      <c r="E3" s="2">
        <v>5.2743055555555557E-2</v>
      </c>
      <c r="F3">
        <v>140</v>
      </c>
      <c r="G3" s="3">
        <v>0.4</v>
      </c>
    </row>
    <row r="4" spans="1:7">
      <c r="A4" t="str">
        <f>Break!A5</f>
        <v>Olivia Brown_004</v>
      </c>
      <c r="B4" t="s">
        <v>78</v>
      </c>
      <c r="C4" s="2">
        <v>0.69092592592592605</v>
      </c>
      <c r="D4" s="2">
        <v>8.1226851851851856E-2</v>
      </c>
      <c r="E4" s="2">
        <v>9.44097222222222E-2</v>
      </c>
      <c r="F4">
        <v>150</v>
      </c>
      <c r="G4" s="3">
        <v>0.45</v>
      </c>
    </row>
    <row r="5" spans="1:7">
      <c r="A5" t="str">
        <f>Break!A6</f>
        <v>Noah Jones_005</v>
      </c>
      <c r="B5" t="s">
        <v>79</v>
      </c>
      <c r="C5" s="2">
        <v>0.73259259259259302</v>
      </c>
      <c r="D5" s="2">
        <v>0.10971064814814815</v>
      </c>
      <c r="E5" s="2">
        <v>0.13607638888888901</v>
      </c>
      <c r="F5">
        <v>110</v>
      </c>
      <c r="G5" s="3">
        <v>0.35</v>
      </c>
    </row>
    <row r="6" spans="1:7">
      <c r="A6" t="str">
        <f>Break!A7</f>
        <v>Ava Miller_006</v>
      </c>
      <c r="B6" t="s">
        <v>80</v>
      </c>
      <c r="C6" s="2">
        <v>0.77425925925925898</v>
      </c>
      <c r="D6" s="2">
        <v>0.13819444444444445</v>
      </c>
      <c r="E6" s="2">
        <v>0.177743055555556</v>
      </c>
      <c r="F6">
        <v>125</v>
      </c>
      <c r="G6" s="3">
        <v>0.38</v>
      </c>
    </row>
    <row r="7" spans="1:7">
      <c r="A7" t="str">
        <f>Break!A8</f>
        <v>William Davis_007</v>
      </c>
      <c r="B7" t="s">
        <v>81</v>
      </c>
      <c r="C7" s="2">
        <v>0.81592592592592605</v>
      </c>
      <c r="D7" s="2">
        <v>0.16667824074074075</v>
      </c>
      <c r="E7" s="2">
        <v>0.21940972222222199</v>
      </c>
      <c r="F7">
        <v>138</v>
      </c>
      <c r="G7" s="3">
        <v>0.39</v>
      </c>
    </row>
    <row r="8" spans="1:7">
      <c r="A8" t="str">
        <f>Break!A9</f>
        <v>Sophia Garcia_008</v>
      </c>
      <c r="B8" t="s">
        <v>82</v>
      </c>
      <c r="C8" s="2">
        <v>0.85759259259259302</v>
      </c>
      <c r="D8" s="2">
        <v>0.19516203703703705</v>
      </c>
      <c r="E8" s="2">
        <v>0.26107638888888901</v>
      </c>
      <c r="F8">
        <v>142</v>
      </c>
      <c r="G8" s="3">
        <v>0.42</v>
      </c>
    </row>
    <row r="9" spans="1:7">
      <c r="A9" t="str">
        <f>Break!A10</f>
        <v>James Rodriguez_009</v>
      </c>
      <c r="B9" t="s">
        <v>83</v>
      </c>
      <c r="C9" s="2">
        <v>0.89925925925925898</v>
      </c>
      <c r="D9" s="2">
        <v>0.22364583333333332</v>
      </c>
      <c r="E9" s="2">
        <v>0.30274305555555597</v>
      </c>
      <c r="F9">
        <v>150</v>
      </c>
      <c r="G9" s="3">
        <v>0.4</v>
      </c>
    </row>
    <row r="10" spans="1:7">
      <c r="A10" t="str">
        <f>Break!A11</f>
        <v>Isabella Wilson_010</v>
      </c>
      <c r="B10" t="s">
        <v>84</v>
      </c>
      <c r="C10" s="2">
        <v>0.94092592592592605</v>
      </c>
      <c r="D10" s="2">
        <v>0.25212962962962965</v>
      </c>
      <c r="E10" s="2">
        <v>0.34440972222222299</v>
      </c>
      <c r="F10">
        <v>160</v>
      </c>
      <c r="G10" s="3">
        <v>0.45</v>
      </c>
    </row>
    <row r="11" spans="1:7">
      <c r="A11" t="str">
        <f>Break!A12</f>
        <v>Michael Moore_011</v>
      </c>
      <c r="B11" t="s">
        <v>85</v>
      </c>
      <c r="C11" s="2">
        <v>0.98259259259259302</v>
      </c>
      <c r="D11" s="2">
        <v>0.28061342592592592</v>
      </c>
      <c r="E11" s="2">
        <v>0.38607638888888901</v>
      </c>
      <c r="F11">
        <v>140</v>
      </c>
      <c r="G11" s="3">
        <v>0.38</v>
      </c>
    </row>
    <row r="12" spans="1:7">
      <c r="A12" t="str">
        <f>Break!A13</f>
        <v>Mia Taylor_012</v>
      </c>
      <c r="B12" t="s">
        <v>86</v>
      </c>
      <c r="C12" s="2">
        <v>1.0242592592592601</v>
      </c>
      <c r="D12" s="2">
        <v>0.30909722222222225</v>
      </c>
      <c r="E12" s="2">
        <v>0.42774305555555597</v>
      </c>
      <c r="F12">
        <v>135</v>
      </c>
      <c r="G12" s="3">
        <v>0.39</v>
      </c>
    </row>
    <row r="13" spans="1:7">
      <c r="A13" t="str">
        <f>Break!A14</f>
        <v>BenjaminAnderson_013</v>
      </c>
      <c r="B13" t="s">
        <v>87</v>
      </c>
      <c r="C13" s="2">
        <v>1.0659259259259299</v>
      </c>
      <c r="D13" s="2">
        <v>0.33758101851851852</v>
      </c>
      <c r="E13" s="2">
        <v>0.46940972222222199</v>
      </c>
      <c r="F13">
        <v>145</v>
      </c>
      <c r="G13" s="3">
        <v>0.4</v>
      </c>
    </row>
    <row r="14" spans="1:7">
      <c r="A14" t="str">
        <f>Break!A15</f>
        <v>Charlotte Thomas_014</v>
      </c>
      <c r="B14" t="s">
        <v>88</v>
      </c>
      <c r="C14" s="2">
        <v>1.10759259259259</v>
      </c>
      <c r="D14" s="2">
        <v>0.36606481481481479</v>
      </c>
      <c r="E14" s="2">
        <v>0.51107638888888896</v>
      </c>
      <c r="F14">
        <v>150</v>
      </c>
      <c r="G14" s="3">
        <v>0.42</v>
      </c>
    </row>
    <row r="15" spans="1:7">
      <c r="A15" t="str">
        <f>Break!A16</f>
        <v>Elijah Jackson_015</v>
      </c>
      <c r="B15" t="s">
        <v>89</v>
      </c>
      <c r="C15" s="2">
        <v>1.1492592592592601</v>
      </c>
      <c r="D15" s="2">
        <v>0.39454861111111111</v>
      </c>
      <c r="E15" s="2">
        <v>0.55274305555555603</v>
      </c>
      <c r="F15">
        <v>138</v>
      </c>
      <c r="G15" s="3">
        <v>0.38</v>
      </c>
    </row>
    <row r="16" spans="1:7">
      <c r="A16" t="str">
        <f>Break!A17</f>
        <v>Amelia White_016</v>
      </c>
      <c r="B16" t="s">
        <v>90</v>
      </c>
      <c r="C16" s="2">
        <v>1.1909259259259299</v>
      </c>
      <c r="D16" s="2">
        <v>0.42303240740740738</v>
      </c>
      <c r="E16" s="2">
        <v>0.59440972222222199</v>
      </c>
      <c r="F16">
        <v>140</v>
      </c>
      <c r="G16" s="3">
        <v>0.4</v>
      </c>
    </row>
    <row r="17" spans="1:7">
      <c r="A17" t="str">
        <f>Break!A18</f>
        <v>Logan Harris_017</v>
      </c>
      <c r="B17" t="s">
        <v>91</v>
      </c>
      <c r="C17" s="2">
        <v>1.23259259259259</v>
      </c>
      <c r="D17" s="2">
        <v>0.45151620370370371</v>
      </c>
      <c r="E17" s="2">
        <v>0.63607638888888896</v>
      </c>
      <c r="F17">
        <v>145</v>
      </c>
      <c r="G17" s="3">
        <v>0.39</v>
      </c>
    </row>
    <row r="18" spans="1:7">
      <c r="A18" t="str">
        <f>Break!A19</f>
        <v>Harper Martin_018</v>
      </c>
      <c r="B18" t="s">
        <v>92</v>
      </c>
      <c r="C18" s="2">
        <v>1.2742592592592601</v>
      </c>
      <c r="D18" s="2">
        <v>0.48</v>
      </c>
      <c r="E18" s="2">
        <v>0.67774305555555603</v>
      </c>
      <c r="F18">
        <v>160</v>
      </c>
      <c r="G18" s="3">
        <v>0.45</v>
      </c>
    </row>
    <row r="19" spans="1:7">
      <c r="A19" t="str">
        <f>Break!A20</f>
        <v>Alexander Lee_019</v>
      </c>
      <c r="B19" t="s">
        <v>93</v>
      </c>
      <c r="C19" s="2">
        <v>1.3159259259259299</v>
      </c>
      <c r="D19" s="2">
        <v>0.50848379629629625</v>
      </c>
      <c r="E19" s="2">
        <v>0.71940972222222199</v>
      </c>
      <c r="F19">
        <v>138</v>
      </c>
      <c r="G19" s="3">
        <v>0.38</v>
      </c>
    </row>
    <row r="20" spans="1:7">
      <c r="A20" t="str">
        <f>Break!A21</f>
        <v>Ella Perez_020</v>
      </c>
      <c r="B20" t="s">
        <v>94</v>
      </c>
      <c r="C20" s="2">
        <v>1.35759259259259</v>
      </c>
      <c r="D20" s="2">
        <v>0.53696759259259264</v>
      </c>
      <c r="E20" s="2">
        <v>0.76107638888888896</v>
      </c>
      <c r="F20">
        <v>150</v>
      </c>
      <c r="G20" s="3">
        <v>0.47</v>
      </c>
    </row>
    <row r="21" spans="1:7">
      <c r="A21" t="s">
        <v>95</v>
      </c>
      <c r="B21" t="s">
        <v>96</v>
      </c>
      <c r="C21" s="2">
        <v>1.3992592592592601</v>
      </c>
      <c r="D21" s="2">
        <v>6.5451388888888892E-2</v>
      </c>
      <c r="E21" s="2">
        <v>0.80274305555555603</v>
      </c>
      <c r="F21">
        <v>170</v>
      </c>
      <c r="G21" s="3">
        <v>0.38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DB1E-65C8-4D43-87A0-728C6FD585BF}">
  <dimension ref="A1:G4"/>
  <sheetViews>
    <sheetView workbookViewId="0"/>
  </sheetViews>
  <sheetFormatPr defaultRowHeight="15"/>
  <cols>
    <col min="1" max="1" width="12.7109375" bestFit="1" customWidth="1"/>
    <col min="2" max="2" width="18.28515625" bestFit="1" customWidth="1"/>
    <col min="3" max="3" width="26" bestFit="1" customWidth="1"/>
    <col min="4" max="4" width="19.85546875" bestFit="1" customWidth="1"/>
    <col min="5" max="5" width="21.140625" bestFit="1" customWidth="1"/>
    <col min="6" max="7" width="18.5703125" bestFit="1" customWidth="1"/>
  </cols>
  <sheetData>
    <row r="1" spans="1:7">
      <c r="A1" s="1" t="s">
        <v>97</v>
      </c>
    </row>
    <row r="3" spans="1:7">
      <c r="A3" t="s">
        <v>0</v>
      </c>
      <c r="B3" t="s">
        <v>74</v>
      </c>
      <c r="C3" t="s">
        <v>75</v>
      </c>
      <c r="D3" t="s">
        <v>30</v>
      </c>
      <c r="E3" t="s">
        <v>8</v>
      </c>
      <c r="F3" t="s">
        <v>31</v>
      </c>
      <c r="G3" t="s">
        <v>60</v>
      </c>
    </row>
    <row r="4" spans="1:7">
      <c r="B4" t="s">
        <v>98</v>
      </c>
      <c r="C4" s="10">
        <v>1.3992592592592592</v>
      </c>
      <c r="D4" s="8">
        <v>6.5451388888888892E-2</v>
      </c>
      <c r="E4" s="8">
        <v>0.80274305555555558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2622-9B98-4C19-B2D8-A1C568B66C73}">
  <dimension ref="A1:H9"/>
  <sheetViews>
    <sheetView tabSelected="1" topLeftCell="A2" workbookViewId="0">
      <selection activeCell="D6" sqref="D6"/>
    </sheetView>
  </sheetViews>
  <sheetFormatPr defaultRowHeight="15"/>
  <cols>
    <col min="1" max="1" width="19.140625" bestFit="1" customWidth="1"/>
    <col min="2" max="2" width="24.140625" customWidth="1"/>
    <col min="3" max="6" width="7.42578125" bestFit="1" customWidth="1"/>
    <col min="7" max="7" width="19.140625" bestFit="1" customWidth="1"/>
    <col min="8" max="8" width="23.42578125" bestFit="1" customWidth="1"/>
    <col min="9" max="10" width="4.85546875" bestFit="1" customWidth="1"/>
    <col min="11" max="11" width="3.85546875" bestFit="1" customWidth="1"/>
    <col min="12" max="13" width="4.85546875" bestFit="1" customWidth="1"/>
    <col min="14" max="14" width="7.140625" bestFit="1" customWidth="1"/>
    <col min="15" max="15" width="11.140625" bestFit="1" customWidth="1"/>
    <col min="16" max="21" width="8.5703125" bestFit="1" customWidth="1"/>
    <col min="22" max="22" width="11.140625" bestFit="1" customWidth="1"/>
  </cols>
  <sheetData>
    <row r="1" spans="1:8" ht="45.75" customHeight="1">
      <c r="A1" s="16" t="s">
        <v>99</v>
      </c>
      <c r="B1" s="17"/>
      <c r="C1" s="17"/>
      <c r="D1" s="17"/>
      <c r="E1" s="17"/>
      <c r="F1" s="17"/>
      <c r="G1" s="17"/>
      <c r="H1" s="17"/>
    </row>
    <row r="2" spans="1:8" ht="21.75" customHeight="1">
      <c r="A2" s="18" t="s">
        <v>100</v>
      </c>
      <c r="B2" s="13"/>
      <c r="D2" s="11"/>
      <c r="G2" s="14" t="s">
        <v>101</v>
      </c>
      <c r="H2" s="15"/>
    </row>
    <row r="3" spans="1:8" ht="16.5" customHeight="1">
      <c r="A3" s="7" t="s">
        <v>74</v>
      </c>
      <c r="B3" t="s">
        <v>102</v>
      </c>
      <c r="G3" s="7" t="s">
        <v>74</v>
      </c>
      <c r="H3" t="s">
        <v>103</v>
      </c>
    </row>
    <row r="4" spans="1:8">
      <c r="A4" t="s">
        <v>80</v>
      </c>
      <c r="B4" s="19">
        <v>0.77425925925925931</v>
      </c>
      <c r="G4" t="s">
        <v>88</v>
      </c>
      <c r="H4" s="12">
        <v>150</v>
      </c>
    </row>
    <row r="5" spans="1:8">
      <c r="A5" t="s">
        <v>76</v>
      </c>
      <c r="B5" s="19">
        <v>0.60759259259259257</v>
      </c>
      <c r="G5" t="s">
        <v>94</v>
      </c>
      <c r="H5" s="12">
        <v>150</v>
      </c>
    </row>
    <row r="6" spans="1:8">
      <c r="A6" t="s">
        <v>77</v>
      </c>
      <c r="B6" s="19">
        <v>0.64925925925925931</v>
      </c>
      <c r="G6" t="s">
        <v>92</v>
      </c>
      <c r="H6" s="12">
        <v>160</v>
      </c>
    </row>
    <row r="7" spans="1:8">
      <c r="A7" t="s">
        <v>79</v>
      </c>
      <c r="B7" s="19">
        <v>0.73259259259259257</v>
      </c>
      <c r="G7" t="s">
        <v>84</v>
      </c>
      <c r="H7" s="12">
        <v>160</v>
      </c>
    </row>
    <row r="8" spans="1:8">
      <c r="A8" t="s">
        <v>78</v>
      </c>
      <c r="B8" s="19">
        <v>0.69092592592592594</v>
      </c>
      <c r="G8" t="s">
        <v>83</v>
      </c>
      <c r="H8" s="12">
        <v>150</v>
      </c>
    </row>
    <row r="9" spans="1:8">
      <c r="G9" t="s">
        <v>78</v>
      </c>
      <c r="H9" s="12">
        <v>150</v>
      </c>
    </row>
  </sheetData>
  <mergeCells count="3">
    <mergeCell ref="A2:B2"/>
    <mergeCell ref="G2:H2"/>
    <mergeCell ref="A1:H1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shivam mishra</cp:lastModifiedBy>
  <cp:revision/>
  <dcterms:created xsi:type="dcterms:W3CDTF">2025-10-03T11:57:13Z</dcterms:created>
  <dcterms:modified xsi:type="dcterms:W3CDTF">2025-10-04T09:17:10Z</dcterms:modified>
  <cp:category/>
  <cp:contentStatus/>
</cp:coreProperties>
</file>